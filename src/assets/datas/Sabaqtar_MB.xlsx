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kazakh-literature-portal\src\assets\datas\"/>
    </mc:Choice>
  </mc:AlternateContent>
  <bookViews>
    <workbookView xWindow="0" yWindow="0" windowWidth="23040" windowHeight="8808" activeTab="1"/>
  </bookViews>
  <sheets>
    <sheet name="📋 Нұсқаулық" sheetId="1" r:id="rId1"/>
    <sheet name="🎬 Видео сабақтар" sheetId="2" r:id="rId2"/>
    <sheet name="📑 PDF материалдар" sheetId="4" r:id="rId3"/>
    <sheet name="📊 Нәтиже" sheetId="5" r:id="rId4"/>
    <sheet name="📚 Тараулар" sheetId="6" r:id="rId5"/>
    <sheet name="📎 Материалдар" sheetId="7" r:id="rId6"/>
    <sheet name="💬 Пікірлер" sheetId="8" r:id="rId7"/>
  </sheets>
  <calcPr calcId="152511"/>
</workbook>
</file>

<file path=xl/calcChain.xml><?xml version="1.0" encoding="utf-8"?>
<calcChain xmlns="http://schemas.openxmlformats.org/spreadsheetml/2006/main">
  <c r="F7" i="5" l="1"/>
  <c r="D7" i="5"/>
  <c r="C7" i="5"/>
  <c r="E7" i="5" s="1"/>
  <c r="F6" i="5"/>
  <c r="D6" i="5"/>
  <c r="D8" i="5" s="1"/>
  <c r="C6" i="5"/>
  <c r="E6" i="5" s="1"/>
  <c r="F5" i="5"/>
  <c r="D5" i="5"/>
  <c r="C5" i="5"/>
  <c r="C8" i="5" l="1"/>
  <c r="F8" i="5"/>
  <c r="E5" i="5"/>
  <c r="E8" i="5" s="1"/>
</calcChain>
</file>

<file path=xl/sharedStrings.xml><?xml version="1.0" encoding="utf-8"?>
<sst xmlns="http://schemas.openxmlformats.org/spreadsheetml/2006/main" count="317" uniqueCount="238">
  <si>
    <t>САБАҚТАР МӘЛІМЕТТЕР БАЗАСЫ — НҰСҚАУЛЫҚ</t>
  </si>
  <si>
    <t>Қазақ Әдебиет Порталы · Сабақтар жүйесі</t>
  </si>
  <si>
    <t>📁 ФАЙЛ ЖОЛДАРЫ ТУРАЛЫ</t>
  </si>
  <si>
    <t>Видео сабақ</t>
  </si>
  <si>
    <t>YouTube URL немесе /public/videos/сабақ.mp4</t>
  </si>
  <si>
    <t>https://youtube.com/watch?v=... немесе /videos/abai.mp4</t>
  </si>
  <si>
    <t>PDF материал</t>
  </si>
  <si>
    <t>Серверде /public/pdfs/ папкасындағы файл жолы</t>
  </si>
  <si>
    <t>/pdfs/abai-zholy.pdf</t>
  </si>
  <si>
    <t>Конспект</t>
  </si>
  <si>
    <t>Серверде /public/texts/ папкасындағы .md файлы</t>
  </si>
  <si>
    <t>/texts/muqagali-lirika.md</t>
  </si>
  <si>
    <t>Мұқаба сурет</t>
  </si>
  <si>
    <t>Серверде /public/covers/ немесе Unsplash URL</t>
  </si>
  <si>
    <t>/covers/abai.jpg немесе https://images.unsplash.com/...</t>
  </si>
  <si>
    <t>📊 БЕТ ҚҰРЫЛЫМЫ</t>
  </si>
  <si>
    <t>🎬 Видео сабақтар</t>
  </si>
  <si>
    <t>YouTube немесе MP4 сілтемесі бар видео сабақтар</t>
  </si>
  <si>
    <t>type=video</t>
  </si>
  <si>
    <t>📄 Конспекттер</t>
  </si>
  <si>
    <t>Мәтіндік конспект файлдары (.md/.html)</t>
  </si>
  <si>
    <t>type=text</t>
  </si>
  <si>
    <t>📑 PDF материалдар</t>
  </si>
  <si>
    <t>PDF файл жолдары бар материалдар</t>
  </si>
  <si>
    <t>type=pdf</t>
  </si>
  <si>
    <t>📊 Нәтиже</t>
  </si>
  <si>
    <t>Автоматты санақ — барлық беттерден</t>
  </si>
  <si>
    <t>Формулалар</t>
  </si>
  <si>
    <t>🎬 ВИДЕО САБАҚТАР</t>
  </si>
  <si>
    <t>Видео URL-ін толық енгізіңіз: YouTube (https://youtube.com/...) немесе серверлік жол (/videos/...)</t>
  </si>
  <si>
    <t>№</t>
  </si>
  <si>
    <t>Сабақ атауы</t>
  </si>
  <si>
    <t>Автор / Оқытушы</t>
  </si>
  <si>
    <t>Видео URL (YouTube немесе /videos/файл.mp4)</t>
  </si>
  <si>
    <t>Мұқаба сурет URL</t>
  </si>
  <si>
    <t>Ұзақтығы</t>
  </si>
  <si>
    <t>Деңгей</t>
  </si>
  <si>
    <t>Тақырып</t>
  </si>
  <si>
    <t>Санат</t>
  </si>
  <si>
    <t>Сипаттама</t>
  </si>
  <si>
    <t>Абай Құнанбайұлының өмірі мен шығармашылығы</t>
  </si>
  <si>
    <t>Айгүл Сейткали</t>
  </si>
  <si>
    <t>https://www.youtube.com/watch?v=dQw4w9WgXcQ</t>
  </si>
  <si>
    <t>https://images.unsplash.com/photo-1476820865390-c52aeebb9891?w=600&amp;q=80</t>
  </si>
  <si>
    <t>45:20</t>
  </si>
  <si>
    <t>Оңай</t>
  </si>
  <si>
    <t>Классика</t>
  </si>
  <si>
    <t>Авторлар</t>
  </si>
  <si>
    <t>Ұлы ақынның туған жылынан соңғы туындыларына дейінгі шығармашылық жолы.</t>
  </si>
  <si>
    <t>Мұқағали Мақатаев лирикасы — видео дәріс</t>
  </si>
  <si>
    <t>Берік Әшімов</t>
  </si>
  <si>
    <t>https://images.unsplash.com/photo-1455390582262-044cdead277a?w=600&amp;q=80</t>
  </si>
  <si>
    <t>38:45</t>
  </si>
  <si>
    <t>Орташа</t>
  </si>
  <si>
    <t>Поэзия</t>
  </si>
  <si>
    <t>Ақынның поэтикалық тілі мен образ жүйесі туралы толық талдау.</t>
  </si>
  <si>
    <t>Қазақ эпостарының жанрлық ерекшеліктері</t>
  </si>
  <si>
    <t>Мадина Оспанова</t>
  </si>
  <si>
    <t>https://www.youtube.com/watch?v=example3</t>
  </si>
  <si>
    <t>https://images.unsplash.com/photo-1516979187457-637abb4f9353?w=600&amp;q=80</t>
  </si>
  <si>
    <t>52:10</t>
  </si>
  <si>
    <t>Эпос</t>
  </si>
  <si>
    <t>Жанрлар</t>
  </si>
  <si>
    <t>«Қобыланды батыр», «Алпамыс», «Ер Тарғын» эпостарының салыстырмалы талдауы.</t>
  </si>
  <si>
    <t>«Абай жолы» романының идеялық мазмұны</t>
  </si>
  <si>
    <t>Зарина Нұрланова</t>
  </si>
  <si>
    <t>https://www.youtube.com/watch?v=example4</t>
  </si>
  <si>
    <t>https://images.unsplash.com/photo-1481627834876-b7833e8f5570?w=600&amp;q=80</t>
  </si>
  <si>
    <t>61:30</t>
  </si>
  <si>
    <t>Жоғары</t>
  </si>
  <si>
    <t>Шығармалар</t>
  </si>
  <si>
    <t>Мұхтар Әуезов эпопеясының тақырыптары мен идеялары.</t>
  </si>
  <si>
    <t>Фариза Оңғарсынова — феминдік поэзия</t>
  </si>
  <si>
    <t>https://www.youtube.com/watch?v=example5</t>
  </si>
  <si>
    <t>https://images.unsplash.com/photo-1515187029135-18ee286d815b?w=600&amp;q=80</t>
  </si>
  <si>
    <t>47:55</t>
  </si>
  <si>
    <t>Ақынның шығармашылық портреті және қазақ поэзиясына үлесі.</t>
  </si>
  <si>
    <t>Әдебиет теориясының негізгі ұғымдары</t>
  </si>
  <si>
    <t>Асем Бекова</t>
  </si>
  <si>
    <t>/videos/literature-theory.mp4</t>
  </si>
  <si>
    <t>https://images.unsplash.com/photo-1532012197267-da84d127e765?w=600&amp;q=80</t>
  </si>
  <si>
    <t>28:15</t>
  </si>
  <si>
    <t>Теория</t>
  </si>
  <si>
    <t>Жанр, стиль, тақырып, идея — әдебиеттану ғылымының іргелі ұғымдары.</t>
  </si>
  <si>
    <t>Автор</t>
  </si>
  <si>
    <t>Дина Сәрсенова</t>
  </si>
  <si>
    <t>https://images.unsplash.com/photo-1513475382585-d06e58bcb0e0?w=600&amp;q=80</t>
  </si>
  <si>
    <t>Проза</t>
  </si>
  <si>
    <t>📑 PDF МАТЕРИАЛДАР</t>
  </si>
  <si>
    <t>Файл жолы: /pdfs/файл.pdf  |  Файл /public/pdfs/ папкасында болуы тиіс</t>
  </si>
  <si>
    <t>Материал атауы</t>
  </si>
  <si>
    <t>PDF файл жолы (/pdfs/файл.pdf)</t>
  </si>
  <si>
    <t>Беттер саны</t>
  </si>
  <si>
    <t>Қысқаша сипаттамасы</t>
  </si>
  <si>
    <t>«Абай жолы» эпопеясының тақырыптық-идеялық мазмұны</t>
  </si>
  <si>
    <t>/pdfs/abai-zholy-talday.pdf</t>
  </si>
  <si>
    <t>48 бет</t>
  </si>
  <si>
    <t>Мұхтар Әуезовтің шедеврін тереңнен талдайтын ғылыми-әдістемелік материал.</t>
  </si>
  <si>
    <t>Заманауи қазақ прозасы: тенденциялар мен бағыттар</t>
  </si>
  <si>
    <t>/pdfs/modern-prose.pdf</t>
  </si>
  <si>
    <t>62 бет</t>
  </si>
  <si>
    <t>2000–2024 жылдардағы прозалық туындылардың жүйелі талдауы.</t>
  </si>
  <si>
    <t>Қазақ халық эпостары: жинақ</t>
  </si>
  <si>
    <t>/pdfs/epics-collection.pdf</t>
  </si>
  <si>
    <t>120 бет</t>
  </si>
  <si>
    <t>Негізгі қазақ эпостарының мәтіндері мен талдаулары.</t>
  </si>
  <si>
    <t>Әдебиет сабақтарының әдістемелік нұсқаулығы</t>
  </si>
  <si>
    <t>/pdfs/methodology-guide.pdf</t>
  </si>
  <si>
    <t>https://images.unsplash.com/photo-1524178232363-1fb2b075b655?w=600&amp;q=80</t>
  </si>
  <si>
    <t>35 бет</t>
  </si>
  <si>
    <t>Мұғалімдерге арналған сабақ жоспарлары мен әдістемелік кеңестер.</t>
  </si>
  <si>
    <t>📊 ЖИЫНТЫҚ СТАТИСТИКА</t>
  </si>
  <si>
    <t>Сабақ беті</t>
  </si>
  <si>
    <t>Жалпы сабақ</t>
  </si>
  <si>
    <t>Толтырылды</t>
  </si>
  <si>
    <t>Бос</t>
  </si>
  <si>
    <t>URL бар</t>
  </si>
  <si>
    <t>БАРЛЫҒЫ</t>
  </si>
  <si>
    <t>📚 ТАРАУЛАР — САБАҚТЫҢ БӨЛІМДЕРІ</t>
  </si>
  <si>
    <t>Сабақ ID = тиісті беттегі № баған мәні. Тип: video/text/pdf</t>
  </si>
  <si>
    <t>Сабақ ID</t>
  </si>
  <si>
    <t>Тип</t>
  </si>
  <si>
    <t>Тарау атауы</t>
  </si>
  <si>
    <t>Уақыт/Бет</t>
  </si>
  <si>
    <t>Мазмұны қысқаша</t>
  </si>
  <si>
    <t>Файл жолы (қосымша)</t>
  </si>
  <si>
    <t>Рет №</t>
  </si>
  <si>
    <t>video</t>
  </si>
  <si>
    <t>Кіріспе — Абайдың балалық шағы</t>
  </si>
  <si>
    <t>0:00</t>
  </si>
  <si>
    <t>Туған жері, отбасы, ерте жылдары</t>
  </si>
  <si>
    <t>Абайдың оқу жылдары</t>
  </si>
  <si>
    <t>8:30</t>
  </si>
  <si>
    <t>Медресе, семей мектебі, орыс мәдениеті</t>
  </si>
  <si>
    <t>Ақындық жол — алғашқы өлеңдері</t>
  </si>
  <si>
    <t>18:00</t>
  </si>
  <si>
    <t>Поэзияға келу, алғашқы туындылар</t>
  </si>
  <si>
    <t>Қарасөздер мен философия</t>
  </si>
  <si>
    <t>28:45</t>
  </si>
  <si>
    <t>38 қарасөздің маңызы</t>
  </si>
  <si>
    <t>Абайдың мұрасы мен әсері</t>
  </si>
  <si>
    <t>38:00</t>
  </si>
  <si>
    <t>Қазіргі таңдағы рөлі, халыққа берген үлесі</t>
  </si>
  <si>
    <t>Мұқағали — тіршілік пен поэзия</t>
  </si>
  <si>
    <t>Өмірбаяндық мәліметтер</t>
  </si>
  <si>
    <t>Лирикалық кейіпкер</t>
  </si>
  <si>
    <t>12:00</t>
  </si>
  <si>
    <t>Ақынның «мен» образы</t>
  </si>
  <si>
    <t>Табиғат образдары</t>
  </si>
  <si>
    <t>24:00</t>
  </si>
  <si>
    <t>Жер, су, жел символикасы</t>
  </si>
  <si>
    <t>text</t>
  </si>
  <si>
    <t>Кіріспе</t>
  </si>
  <si>
    <t>1 бет</t>
  </si>
  <si>
    <t>Ақын туралы жалпы мәлімет</t>
  </si>
  <si>
    <t>Поэтикалық тіл</t>
  </si>
  <si>
    <t>3 бет</t>
  </si>
  <si>
    <t>Лексика, синтаксис ерекшеліктері</t>
  </si>
  <si>
    <t>Образ жүйесі</t>
  </si>
  <si>
    <t>6 бет</t>
  </si>
  <si>
    <t>Негізгі образдар мен символдар</t>
  </si>
  <si>
    <t>Қорытынды</t>
  </si>
  <si>
    <t>9 бет</t>
  </si>
  <si>
    <t>Жалпы бағалау</t>
  </si>
  <si>
    <t>pdf</t>
  </si>
  <si>
    <t>І бөлім — Тақырып</t>
  </si>
  <si>
    <t>1-15 бет</t>
  </si>
  <si>
    <t>Тақырыптық-мазмұндық талдау</t>
  </si>
  <si>
    <t>ІІ бөлім — Кейіпкерлер</t>
  </si>
  <si>
    <t>16-32 бет</t>
  </si>
  <si>
    <t>Образдар жүйесі</t>
  </si>
  <si>
    <t>ІІІ бөлім — Идея</t>
  </si>
  <si>
    <t>33-48 бет</t>
  </si>
  <si>
    <t>Идеялық мазмұн</t>
  </si>
  <si>
    <t>📎 ЖҮКТЕЛЕТІН МАТЕРИАЛДАР</t>
  </si>
  <si>
    <t>Файл жолы: /pdfs/файл.pdf  |  /texts/файл.md  |  немесе сыртқы URL</t>
  </si>
  <si>
    <t>Файл тип</t>
  </si>
  <si>
    <t>Өлшем</t>
  </si>
  <si>
    <t>Файл жолы (/pdfs/ немесе /texts/)</t>
  </si>
  <si>
    <t>Сабақ конспекті (PDF)</t>
  </si>
  <si>
    <t>1.2 MB</t>
  </si>
  <si>
    <t>/pdfs/abai-lesson-notes.pdf</t>
  </si>
  <si>
    <t>Тест сұрақтары (DOCX)</t>
  </si>
  <si>
    <t>docx</t>
  </si>
  <si>
    <t>245 KB</t>
  </si>
  <si>
    <t>/texts/abai-test.docx</t>
  </si>
  <si>
    <t>Хронология кестесі (PDF)</t>
  </si>
  <si>
    <t>520 KB</t>
  </si>
  <si>
    <t>/pdfs/abai-chronology.pdf</t>
  </si>
  <si>
    <t>Абай өлеңдері жинағы</t>
  </si>
  <si>
    <t>3.8 MB</t>
  </si>
  <si>
    <t>/pdfs/abai-poems.pdf</t>
  </si>
  <si>
    <t>Конспект (PDF)</t>
  </si>
  <si>
    <t>890 KB</t>
  </si>
  <si>
    <t>/pdfs/muqagali-notes.pdf</t>
  </si>
  <si>
    <t>Өлең мысалдары</t>
  </si>
  <si>
    <t>1.1 MB</t>
  </si>
  <si>
    <t>/pdfs/muqagali-poems.pdf</t>
  </si>
  <si>
    <t>Конспект мәтіні (PDF)</t>
  </si>
  <si>
    <t>780 KB</t>
  </si>
  <si>
    <t>/pdfs/muqagali-lirika.pdf</t>
  </si>
  <si>
    <t>Терминдер сөздігі</t>
  </si>
  <si>
    <t>180 KB</t>
  </si>
  <si>
    <t>/texts/terms.docx</t>
  </si>
  <si>
    <t>Негізгі PDF файл</t>
  </si>
  <si>
    <t>2.4 MB</t>
  </si>
  <si>
    <t>Сабақ жоспары</t>
  </si>
  <si>
    <t>320 KB</t>
  </si>
  <si>
    <t>/texts/lesson-plan.docx</t>
  </si>
  <si>
    <t>💬 ПІКІРЛЕР МӘЛІМЕТТЕР БАЗАСЫ</t>
  </si>
  <si>
    <t>Рейтинг: 1-5. Күн: ЖЖЖЖ-АА-КК форматында</t>
  </si>
  <si>
    <t>Автор есімі</t>
  </si>
  <si>
    <t>Күн</t>
  </si>
  <si>
    <t>Рейтинг</t>
  </si>
  <si>
    <t>Пікір мәтіні</t>
  </si>
  <si>
    <t>Нұрия Алиева</t>
  </si>
  <si>
    <t>2026-04-22</t>
  </si>
  <si>
    <t>Өте сапалы сабақ! Абайдың шығармашылығы туралы жаңа нәрселер білдім. Оқытушы материалды өте түсінікті жеткізді.</t>
  </si>
  <si>
    <t>Бекзат Омаров</t>
  </si>
  <si>
    <t>2026-04-21</t>
  </si>
  <si>
    <t>Рахмет! Мұндай терең талдауды бұрын ешқайда таппадым. Видео сапасы да жоғары.</t>
  </si>
  <si>
    <t>Айдана Смаилова</t>
  </si>
  <si>
    <t>2026-04-19</t>
  </si>
  <si>
    <t>Сабақ қызықты, бірақ кейбір тараулар тезірек өтілсе болатын еді. Жалпы өте пайдалы!</t>
  </si>
  <si>
    <t>Салтанат Нурова</t>
  </si>
  <si>
    <t>2026-04-20</t>
  </si>
  <si>
    <t>Мұқағали поэзиясын жаңаша түсіндім. Керемет!</t>
  </si>
  <si>
    <t>Ерлан Касымов</t>
  </si>
  <si>
    <t>2026-04-18</t>
  </si>
  <si>
    <t>Материал тереңдетілген, ғылыми деңгейде жазылған.</t>
  </si>
  <si>
    <t>Асем Берікова</t>
  </si>
  <si>
    <t>2026-04-15</t>
  </si>
  <si>
    <t>Конспект өте жақсы жазылған, барлығы анық және түсінікті.</t>
  </si>
  <si>
    <t>Дамир Сейіт</t>
  </si>
  <si>
    <t>2026-04-14</t>
  </si>
  <si>
    <t>PDF материал ғылыми деңгейде, бірақ студенттерге кейде қиын болуы мүмкін.</t>
  </si>
  <si>
    <t>/pdfs/Test.pdf</t>
  </si>
  <si>
    <t>/videos/Test.mp4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</si>
</sst>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  <charset val="204"/>
    </font>
    <font>
      <i/>
      <sz val="9"/>
      <color rgb="FF9A8A72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9"/>
      <color rgb="FF1A1208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9"/>
      <color rgb="FF8B3A1E"/>
      <name val="Arial"/>
      <family val="2"/>
      <charset val="204"/>
    </font>
    <font>
      <b/>
      <sz val="9"/>
      <color rgb="FF2A3A5C"/>
      <name val="Arial"/>
      <family val="2"/>
      <charset val="204"/>
    </font>
    <font>
      <b/>
      <sz val="9"/>
      <color rgb="FF1A1208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A1208"/>
      </patternFill>
    </fill>
    <fill>
      <patternFill patternType="solid">
        <fgColor rgb="FFFAF6EF"/>
      </patternFill>
    </fill>
    <fill>
      <patternFill patternType="solid">
        <fgColor rgb="FF8B3A1E"/>
      </patternFill>
    </fill>
    <fill>
      <patternFill patternType="solid">
        <fgColor rgb="FFFDF8F0"/>
      </patternFill>
    </fill>
    <fill>
      <patternFill patternType="solid">
        <fgColor rgb="FFFFFFFF"/>
      </patternFill>
    </fill>
    <fill>
      <patternFill patternType="solid">
        <fgColor rgb="FFC4922A"/>
      </patternFill>
    </fill>
    <fill>
      <patternFill patternType="solid">
        <fgColor rgb="FFFDF3E0"/>
      </patternFill>
    </fill>
    <fill>
      <patternFill patternType="solid">
        <fgColor rgb="FF3A5C3A"/>
      </patternFill>
    </fill>
    <fill>
      <patternFill patternType="solid">
        <fgColor rgb="FF2A3A5C"/>
      </patternFill>
    </fill>
  </fills>
  <borders count="2">
    <border>
      <left/>
      <right/>
      <top/>
      <bottom/>
      <diagonal/>
    </border>
    <border>
      <left style="thin">
        <color rgb="FFD9CDB8"/>
      </left>
      <right style="thin">
        <color rgb="FFD9CDB8"/>
      </right>
      <top style="thin">
        <color rgb="FFD9CDB8"/>
      </top>
      <bottom style="thin">
        <color rgb="FFD9CD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3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showGridLines="0" workbookViewId="0"/>
  </sheetViews>
  <sheetFormatPr defaultRowHeight="14.4" x14ac:dyDescent="0.3"/>
  <cols>
    <col min="1" max="1" width="3" customWidth="1"/>
    <col min="2" max="2" width="28" customWidth="1"/>
    <col min="3" max="3" width="50" customWidth="1"/>
    <col min="4" max="4" width="28" customWidth="1"/>
    <col min="5" max="5" width="20" customWidth="1"/>
  </cols>
  <sheetData>
    <row r="2" spans="1:5" ht="31.95" customHeight="1" x14ac:dyDescent="0.3">
      <c r="B2" s="19" t="s">
        <v>0</v>
      </c>
      <c r="C2" s="16"/>
      <c r="D2" s="16"/>
      <c r="E2" s="16"/>
    </row>
    <row r="3" spans="1:5" ht="16.05" customHeight="1" x14ac:dyDescent="0.3">
      <c r="B3" s="18" t="s">
        <v>1</v>
      </c>
      <c r="C3" s="16"/>
      <c r="D3" s="16"/>
      <c r="E3" s="16"/>
    </row>
    <row r="5" spans="1:5" ht="22.05" customHeight="1" x14ac:dyDescent="0.3">
      <c r="B5" s="15" t="s">
        <v>2</v>
      </c>
      <c r="C5" s="16"/>
      <c r="D5" s="16"/>
      <c r="E5" s="16"/>
    </row>
    <row r="6" spans="1:5" ht="19.95" customHeight="1" x14ac:dyDescent="0.3">
      <c r="A6" s="1"/>
      <c r="B6" s="1" t="s">
        <v>3</v>
      </c>
      <c r="C6" s="1" t="s">
        <v>4</v>
      </c>
      <c r="D6" s="1" t="s">
        <v>5</v>
      </c>
    </row>
    <row r="7" spans="1:5" ht="19.95" customHeight="1" x14ac:dyDescent="0.3">
      <c r="A7" s="2"/>
      <c r="B7" s="2" t="s">
        <v>6</v>
      </c>
      <c r="C7" s="2" t="s">
        <v>7</v>
      </c>
      <c r="D7" s="2" t="s">
        <v>8</v>
      </c>
    </row>
    <row r="8" spans="1:5" ht="19.95" customHeight="1" x14ac:dyDescent="0.3">
      <c r="A8" s="1"/>
      <c r="B8" s="1" t="s">
        <v>9</v>
      </c>
      <c r="C8" s="1" t="s">
        <v>10</v>
      </c>
      <c r="D8" s="1" t="s">
        <v>11</v>
      </c>
    </row>
    <row r="9" spans="1:5" ht="19.95" customHeight="1" x14ac:dyDescent="0.3">
      <c r="A9" s="2"/>
      <c r="B9" s="2" t="s">
        <v>12</v>
      </c>
      <c r="C9" s="2" t="s">
        <v>13</v>
      </c>
      <c r="D9" s="2" t="s">
        <v>14</v>
      </c>
    </row>
    <row r="11" spans="1:5" ht="22.05" customHeight="1" x14ac:dyDescent="0.3">
      <c r="B11" s="17" t="s">
        <v>15</v>
      </c>
      <c r="C11" s="16"/>
      <c r="D11" s="16"/>
      <c r="E11" s="16"/>
    </row>
    <row r="12" spans="1:5" ht="19.95" customHeight="1" x14ac:dyDescent="0.3">
      <c r="A12" s="1"/>
      <c r="B12" s="1" t="s">
        <v>16</v>
      </c>
      <c r="C12" s="1" t="s">
        <v>17</v>
      </c>
      <c r="D12" s="1" t="s">
        <v>18</v>
      </c>
    </row>
    <row r="13" spans="1:5" ht="19.95" customHeight="1" x14ac:dyDescent="0.3">
      <c r="A13" s="2"/>
      <c r="B13" s="2" t="s">
        <v>19</v>
      </c>
      <c r="C13" s="2" t="s">
        <v>20</v>
      </c>
      <c r="D13" s="2" t="s">
        <v>21</v>
      </c>
    </row>
    <row r="14" spans="1:5" ht="19.95" customHeight="1" x14ac:dyDescent="0.3">
      <c r="A14" s="1"/>
      <c r="B14" s="1" t="s">
        <v>22</v>
      </c>
      <c r="C14" s="1" t="s">
        <v>23</v>
      </c>
      <c r="D14" s="1" t="s">
        <v>24</v>
      </c>
    </row>
    <row r="15" spans="1:5" ht="19.95" customHeight="1" x14ac:dyDescent="0.3">
      <c r="A15" s="2"/>
      <c r="B15" s="2" t="s">
        <v>25</v>
      </c>
      <c r="C15" s="2" t="s">
        <v>26</v>
      </c>
      <c r="D15" s="2" t="s">
        <v>27</v>
      </c>
    </row>
  </sheetData>
  <mergeCells count="4">
    <mergeCell ref="B5:E5"/>
    <mergeCell ref="B11:E11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G26" sqref="G26"/>
    </sheetView>
  </sheetViews>
  <sheetFormatPr defaultRowHeight="14.4" x14ac:dyDescent="0.3"/>
  <cols>
    <col min="1" max="1" width="3" customWidth="1"/>
    <col min="2" max="2" width="5" customWidth="1"/>
    <col min="3" max="3" width="35" customWidth="1"/>
    <col min="4" max="4" width="28" customWidth="1"/>
    <col min="5" max="5" width="42" customWidth="1"/>
    <col min="6" max="6" width="28" customWidth="1"/>
    <col min="7" max="7" width="16" customWidth="1"/>
    <col min="8" max="8" width="12" customWidth="1"/>
    <col min="9" max="10" width="18" customWidth="1"/>
    <col min="11" max="11" width="22" customWidth="1"/>
  </cols>
  <sheetData>
    <row r="2" spans="1:11" ht="31.95" customHeight="1" x14ac:dyDescent="0.3">
      <c r="B2" s="20" t="s">
        <v>28</v>
      </c>
      <c r="C2" s="16"/>
      <c r="D2" s="16"/>
      <c r="E2" s="16"/>
      <c r="F2" s="16"/>
      <c r="G2" s="16"/>
      <c r="H2" s="16"/>
      <c r="I2" s="16"/>
      <c r="J2" s="16"/>
      <c r="K2" s="16"/>
    </row>
    <row r="3" spans="1:11" ht="16.05" customHeight="1" x14ac:dyDescent="0.3">
      <c r="B3" s="18" t="s">
        <v>29</v>
      </c>
      <c r="C3" s="16"/>
      <c r="D3" s="16"/>
      <c r="E3" s="16"/>
      <c r="F3" s="16"/>
      <c r="G3" s="16"/>
      <c r="H3" s="16"/>
      <c r="I3" s="16"/>
      <c r="J3" s="16"/>
      <c r="K3" s="16"/>
    </row>
    <row r="5" spans="1:11" ht="30" customHeight="1" x14ac:dyDescent="0.3">
      <c r="A5" s="3"/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</row>
    <row r="6" spans="1:11" ht="22.05" customHeight="1" x14ac:dyDescent="0.3">
      <c r="A6" s="4"/>
      <c r="B6" s="4">
        <v>1</v>
      </c>
      <c r="C6" s="4" t="s">
        <v>40</v>
      </c>
      <c r="D6" s="4" t="s">
        <v>41</v>
      </c>
      <c r="E6" s="5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</row>
    <row r="7" spans="1:11" ht="22.05" customHeight="1" x14ac:dyDescent="0.3">
      <c r="A7" s="2"/>
      <c r="B7" s="2">
        <v>2</v>
      </c>
      <c r="C7" s="2" t="s">
        <v>49</v>
      </c>
      <c r="D7" s="2" t="s">
        <v>50</v>
      </c>
      <c r="E7" s="5" t="s">
        <v>237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47</v>
      </c>
      <c r="K7" s="2" t="s">
        <v>55</v>
      </c>
    </row>
    <row r="8" spans="1:11" ht="22.05" customHeight="1" x14ac:dyDescent="0.3">
      <c r="A8" s="4"/>
      <c r="B8" s="4">
        <v>3</v>
      </c>
      <c r="C8" s="4" t="s">
        <v>56</v>
      </c>
      <c r="D8" s="4" t="s">
        <v>57</v>
      </c>
      <c r="E8" s="5" t="s">
        <v>58</v>
      </c>
      <c r="F8" s="4" t="s">
        <v>59</v>
      </c>
      <c r="G8" s="4" t="s">
        <v>60</v>
      </c>
      <c r="H8" s="4" t="s">
        <v>53</v>
      </c>
      <c r="I8" s="4" t="s">
        <v>61</v>
      </c>
      <c r="J8" s="4" t="s">
        <v>62</v>
      </c>
      <c r="K8" s="4" t="s">
        <v>63</v>
      </c>
    </row>
    <row r="9" spans="1:11" ht="22.05" customHeight="1" x14ac:dyDescent="0.3">
      <c r="A9" s="2"/>
      <c r="B9" s="2">
        <v>4</v>
      </c>
      <c r="C9" s="2" t="s">
        <v>64</v>
      </c>
      <c r="D9" s="2" t="s">
        <v>65</v>
      </c>
      <c r="E9" s="5" t="s">
        <v>66</v>
      </c>
      <c r="F9" s="2" t="s">
        <v>67</v>
      </c>
      <c r="G9" s="2" t="s">
        <v>68</v>
      </c>
      <c r="H9" s="2" t="s">
        <v>69</v>
      </c>
      <c r="I9" s="2" t="s">
        <v>46</v>
      </c>
      <c r="J9" s="2" t="s">
        <v>70</v>
      </c>
      <c r="K9" s="2" t="s">
        <v>71</v>
      </c>
    </row>
    <row r="10" spans="1:11" ht="22.05" customHeight="1" x14ac:dyDescent="0.3">
      <c r="A10" s="4"/>
      <c r="B10" s="4">
        <v>5</v>
      </c>
      <c r="C10" s="4" t="s">
        <v>72</v>
      </c>
      <c r="D10" s="4" t="s">
        <v>41</v>
      </c>
      <c r="E10" s="5" t="s">
        <v>73</v>
      </c>
      <c r="F10" s="4" t="s">
        <v>74</v>
      </c>
      <c r="G10" s="4" t="s">
        <v>75</v>
      </c>
      <c r="H10" s="4" t="s">
        <v>53</v>
      </c>
      <c r="I10" s="4" t="s">
        <v>54</v>
      </c>
      <c r="J10" s="4" t="s">
        <v>47</v>
      </c>
      <c r="K10" s="4" t="s">
        <v>76</v>
      </c>
    </row>
    <row r="11" spans="1:11" ht="22.05" customHeight="1" x14ac:dyDescent="0.3">
      <c r="A11" s="2"/>
      <c r="B11" s="2">
        <v>6</v>
      </c>
      <c r="C11" s="2" t="s">
        <v>77</v>
      </c>
      <c r="D11" s="2" t="s">
        <v>78</v>
      </c>
      <c r="E11" s="5" t="s">
        <v>79</v>
      </c>
      <c r="F11" s="2" t="s">
        <v>80</v>
      </c>
      <c r="G11" s="2" t="s">
        <v>81</v>
      </c>
      <c r="H11" s="2" t="s">
        <v>45</v>
      </c>
      <c r="I11" s="2" t="s">
        <v>82</v>
      </c>
      <c r="J11" s="2" t="s">
        <v>82</v>
      </c>
      <c r="K11" s="2" t="s">
        <v>83</v>
      </c>
    </row>
    <row r="12" spans="1:11" ht="22.05" customHeight="1" x14ac:dyDescent="0.3">
      <c r="A12" s="4"/>
      <c r="B12" s="4">
        <v>7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ht="22.05" customHeight="1" x14ac:dyDescent="0.3">
      <c r="A13" s="2"/>
      <c r="B13" s="2">
        <v>8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22.05" customHeight="1" x14ac:dyDescent="0.3">
      <c r="A14" s="4"/>
      <c r="B14" s="4">
        <v>9</v>
      </c>
      <c r="C14" s="4"/>
      <c r="D14" s="4"/>
      <c r="E14" s="4"/>
      <c r="F14" s="4"/>
      <c r="G14" s="4"/>
      <c r="H14" s="4"/>
      <c r="I14" s="4"/>
      <c r="J14" s="4"/>
      <c r="K14" s="4"/>
    </row>
  </sheetData>
  <mergeCells count="2">
    <mergeCell ref="B3:K3"/>
    <mergeCell ref="B2:K2"/>
  </mergeCells>
  <dataValidations count="1">
    <dataValidation type="list" sqref="H6:H500">
      <formula1>"Оңай,Орташа,Жоғары"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E6" sqref="E6"/>
    </sheetView>
  </sheetViews>
  <sheetFormatPr defaultRowHeight="14.4" x14ac:dyDescent="0.3"/>
  <cols>
    <col min="1" max="1" width="3" customWidth="1"/>
    <col min="2" max="2" width="5" customWidth="1"/>
    <col min="3" max="3" width="35" customWidth="1"/>
    <col min="4" max="4" width="28" customWidth="1"/>
    <col min="5" max="5" width="38" customWidth="1"/>
    <col min="6" max="6" width="28" customWidth="1"/>
    <col min="7" max="7" width="14" customWidth="1"/>
    <col min="8" max="8" width="12" customWidth="1"/>
    <col min="9" max="10" width="18" customWidth="1"/>
    <col min="11" max="11" width="30" customWidth="1"/>
  </cols>
  <sheetData>
    <row r="2" spans="1:11" ht="31.95" customHeight="1" x14ac:dyDescent="0.3">
      <c r="B2" s="21" t="s">
        <v>88</v>
      </c>
      <c r="C2" s="16"/>
      <c r="D2" s="16"/>
      <c r="E2" s="16"/>
      <c r="F2" s="16"/>
      <c r="G2" s="16"/>
      <c r="H2" s="16"/>
      <c r="I2" s="16"/>
      <c r="J2" s="16"/>
      <c r="K2" s="16"/>
    </row>
    <row r="3" spans="1:11" ht="16.05" customHeight="1" x14ac:dyDescent="0.3">
      <c r="B3" s="18" t="s">
        <v>89</v>
      </c>
      <c r="C3" s="16"/>
      <c r="D3" s="16"/>
      <c r="E3" s="16"/>
      <c r="F3" s="16"/>
      <c r="G3" s="16"/>
      <c r="H3" s="16"/>
      <c r="I3" s="16"/>
      <c r="J3" s="16"/>
      <c r="K3" s="16"/>
    </row>
    <row r="5" spans="1:11" ht="30" customHeight="1" x14ac:dyDescent="0.3">
      <c r="A5" s="7"/>
      <c r="B5" s="7" t="s">
        <v>30</v>
      </c>
      <c r="C5" s="7" t="s">
        <v>90</v>
      </c>
      <c r="D5" s="7" t="s">
        <v>84</v>
      </c>
      <c r="E5" s="7" t="s">
        <v>91</v>
      </c>
      <c r="F5" s="7" t="s">
        <v>34</v>
      </c>
      <c r="G5" s="7" t="s">
        <v>92</v>
      </c>
      <c r="H5" s="7" t="s">
        <v>36</v>
      </c>
      <c r="I5" s="7" t="s">
        <v>37</v>
      </c>
      <c r="J5" s="7" t="s">
        <v>38</v>
      </c>
      <c r="K5" s="7" t="s">
        <v>93</v>
      </c>
    </row>
    <row r="6" spans="1:11" ht="22.05" customHeight="1" x14ac:dyDescent="0.3">
      <c r="A6" s="4"/>
      <c r="B6" s="4">
        <v>1</v>
      </c>
      <c r="C6" s="4" t="s">
        <v>94</v>
      </c>
      <c r="D6" s="4" t="s">
        <v>65</v>
      </c>
      <c r="E6" s="8" t="s">
        <v>236</v>
      </c>
      <c r="F6" s="4" t="s">
        <v>67</v>
      </c>
      <c r="G6" s="4" t="s">
        <v>96</v>
      </c>
      <c r="H6" s="4" t="s">
        <v>69</v>
      </c>
      <c r="I6" s="4" t="s">
        <v>46</v>
      </c>
      <c r="J6" s="4" t="s">
        <v>70</v>
      </c>
      <c r="K6" s="4" t="s">
        <v>97</v>
      </c>
    </row>
    <row r="7" spans="1:11" ht="22.05" customHeight="1" x14ac:dyDescent="0.3">
      <c r="A7" s="2"/>
      <c r="B7" s="2">
        <v>2</v>
      </c>
      <c r="C7" s="2" t="s">
        <v>98</v>
      </c>
      <c r="D7" s="2" t="s">
        <v>85</v>
      </c>
      <c r="E7" s="8" t="s">
        <v>99</v>
      </c>
      <c r="F7" s="2" t="s">
        <v>86</v>
      </c>
      <c r="G7" s="2" t="s">
        <v>100</v>
      </c>
      <c r="H7" s="2" t="s">
        <v>53</v>
      </c>
      <c r="I7" s="2" t="s">
        <v>87</v>
      </c>
      <c r="J7" s="2" t="s">
        <v>62</v>
      </c>
      <c r="K7" s="2" t="s">
        <v>101</v>
      </c>
    </row>
    <row r="8" spans="1:11" ht="22.05" customHeight="1" x14ac:dyDescent="0.3">
      <c r="A8" s="4"/>
      <c r="B8" s="4">
        <v>3</v>
      </c>
      <c r="C8" s="4" t="s">
        <v>102</v>
      </c>
      <c r="D8" s="4" t="s">
        <v>57</v>
      </c>
      <c r="E8" s="8" t="s">
        <v>103</v>
      </c>
      <c r="F8" s="4" t="s">
        <v>59</v>
      </c>
      <c r="G8" s="4" t="s">
        <v>104</v>
      </c>
      <c r="H8" s="4" t="s">
        <v>53</v>
      </c>
      <c r="I8" s="4" t="s">
        <v>61</v>
      </c>
      <c r="J8" s="4" t="s">
        <v>62</v>
      </c>
      <c r="K8" s="4" t="s">
        <v>105</v>
      </c>
    </row>
    <row r="9" spans="1:11" ht="22.05" customHeight="1" x14ac:dyDescent="0.3">
      <c r="A9" s="2"/>
      <c r="B9" s="2">
        <v>4</v>
      </c>
      <c r="C9" s="2" t="s">
        <v>106</v>
      </c>
      <c r="D9" s="2" t="s">
        <v>78</v>
      </c>
      <c r="E9" s="8" t="s">
        <v>107</v>
      </c>
      <c r="F9" s="2" t="s">
        <v>108</v>
      </c>
      <c r="G9" s="2" t="s">
        <v>109</v>
      </c>
      <c r="H9" s="2" t="s">
        <v>45</v>
      </c>
      <c r="I9" s="2" t="s">
        <v>82</v>
      </c>
      <c r="J9" s="2" t="s">
        <v>82</v>
      </c>
      <c r="K9" s="2" t="s">
        <v>110</v>
      </c>
    </row>
    <row r="10" spans="1:11" ht="22.05" customHeight="1" x14ac:dyDescent="0.3">
      <c r="A10" s="4"/>
      <c r="B10" s="4">
        <v>5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22.05" customHeight="1" x14ac:dyDescent="0.3">
      <c r="A11" s="2"/>
      <c r="B11" s="2">
        <v>6</v>
      </c>
      <c r="C11" s="2"/>
      <c r="D11" s="2"/>
      <c r="E11" s="2"/>
      <c r="F11" s="2"/>
      <c r="G11" s="2"/>
      <c r="H11" s="2"/>
      <c r="I11" s="2"/>
      <c r="J11" s="2"/>
      <c r="K11" s="2"/>
    </row>
  </sheetData>
  <mergeCells count="2">
    <mergeCell ref="B3:K3"/>
    <mergeCell ref="B2:K2"/>
  </mergeCells>
  <dataValidations count="1">
    <dataValidation type="list" sqref="H6:H500">
      <formula1>"Оңай,Орташа,Жоғары"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showGridLines="0" workbookViewId="0"/>
  </sheetViews>
  <sheetFormatPr defaultRowHeight="14.4" x14ac:dyDescent="0.3"/>
  <cols>
    <col min="1" max="1" width="3" customWidth="1"/>
    <col min="2" max="2" width="30" customWidth="1"/>
    <col min="3" max="5" width="18" customWidth="1"/>
    <col min="6" max="6" width="16" customWidth="1"/>
  </cols>
  <sheetData>
    <row r="2" spans="1:6" ht="31.95" customHeight="1" x14ac:dyDescent="0.3">
      <c r="B2" s="19" t="s">
        <v>111</v>
      </c>
      <c r="C2" s="16"/>
      <c r="D2" s="16"/>
      <c r="E2" s="16"/>
      <c r="F2" s="16"/>
    </row>
    <row r="4" spans="1:6" ht="30" customHeight="1" x14ac:dyDescent="0.3">
      <c r="A4" s="9"/>
      <c r="B4" s="9" t="s">
        <v>112</v>
      </c>
      <c r="C4" s="9" t="s">
        <v>113</v>
      </c>
      <c r="D4" s="9" t="s">
        <v>114</v>
      </c>
      <c r="E4" s="9" t="s">
        <v>115</v>
      </c>
      <c r="F4" s="9" t="s">
        <v>116</v>
      </c>
    </row>
    <row r="5" spans="1:6" ht="22.05" customHeight="1" x14ac:dyDescent="0.3">
      <c r="B5" s="10" t="s">
        <v>16</v>
      </c>
      <c r="C5" s="11">
        <f>COUNTA('🎬 Видео сабақтар'!C6:C500)</f>
        <v>6</v>
      </c>
      <c r="D5" s="11">
        <f>COUNTA('🎬 Видео сабақтар'!D6:D500)</f>
        <v>6</v>
      </c>
      <c r="E5" s="11">
        <f>C5-D5</f>
        <v>0</v>
      </c>
      <c r="F5" s="11">
        <f>COUNTA('🎬 Видео сабақтар'!E6:E500)</f>
        <v>6</v>
      </c>
    </row>
    <row r="6" spans="1:6" ht="22.05" customHeight="1" x14ac:dyDescent="0.3">
      <c r="B6" s="12" t="s">
        <v>19</v>
      </c>
      <c r="C6" s="13">
        <f>COUNTA(#REF!)</f>
        <v>1</v>
      </c>
      <c r="D6" s="13">
        <f>COUNTA(#REF!)</f>
        <v>1</v>
      </c>
      <c r="E6" s="13">
        <f>C6-D6</f>
        <v>0</v>
      </c>
      <c r="F6" s="13">
        <f>COUNTA(#REF!)</f>
        <v>1</v>
      </c>
    </row>
    <row r="7" spans="1:6" ht="22.05" customHeight="1" x14ac:dyDescent="0.3">
      <c r="B7" s="10" t="s">
        <v>22</v>
      </c>
      <c r="C7" s="11">
        <f>COUNTA('📑 PDF материалдар'!C6:C500)</f>
        <v>4</v>
      </c>
      <c r="D7" s="11">
        <f>COUNTA('📑 PDF материалдар'!D6:D500)</f>
        <v>4</v>
      </c>
      <c r="E7" s="11">
        <f>C7-D7</f>
        <v>0</v>
      </c>
      <c r="F7" s="11">
        <f>COUNTA('📑 PDF материалдар'!E6:E500)</f>
        <v>4</v>
      </c>
    </row>
    <row r="8" spans="1:6" ht="25.95" customHeight="1" x14ac:dyDescent="0.3">
      <c r="A8" s="14"/>
      <c r="B8" s="14" t="s">
        <v>117</v>
      </c>
      <c r="C8" s="14">
        <f>SUM(C5:C7)</f>
        <v>11</v>
      </c>
      <c r="D8" s="14">
        <f>SUM(D5:D7)</f>
        <v>11</v>
      </c>
      <c r="E8" s="14">
        <f>SUM(E5:E7)</f>
        <v>0</v>
      </c>
      <c r="F8" s="14">
        <f>SUM(F5:F7)</f>
        <v>11</v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showGridLines="0" workbookViewId="0"/>
  </sheetViews>
  <sheetFormatPr defaultRowHeight="14.4" x14ac:dyDescent="0.3"/>
  <cols>
    <col min="1" max="1" width="3" customWidth="1"/>
    <col min="2" max="3" width="8" customWidth="1"/>
    <col min="4" max="4" width="32" customWidth="1"/>
    <col min="5" max="5" width="14" customWidth="1"/>
    <col min="6" max="7" width="28" customWidth="1"/>
    <col min="8" max="8" width="12" customWidth="1"/>
  </cols>
  <sheetData>
    <row r="2" spans="1:8" ht="30" customHeight="1" x14ac:dyDescent="0.3">
      <c r="B2" s="19" t="s">
        <v>118</v>
      </c>
      <c r="C2" s="16"/>
      <c r="D2" s="16"/>
      <c r="E2" s="16"/>
      <c r="F2" s="16"/>
      <c r="G2" s="16"/>
      <c r="H2" s="16"/>
    </row>
    <row r="3" spans="1:8" ht="16.05" customHeight="1" x14ac:dyDescent="0.3">
      <c r="B3" s="18" t="s">
        <v>119</v>
      </c>
      <c r="C3" s="16"/>
      <c r="D3" s="16"/>
      <c r="E3" s="16"/>
      <c r="F3" s="16"/>
      <c r="G3" s="16"/>
      <c r="H3" s="16"/>
    </row>
    <row r="5" spans="1:8" ht="28.05" customHeight="1" x14ac:dyDescent="0.3">
      <c r="A5" s="9"/>
      <c r="B5" s="9" t="s">
        <v>120</v>
      </c>
      <c r="C5" s="9" t="s">
        <v>121</v>
      </c>
      <c r="D5" s="9" t="s">
        <v>122</v>
      </c>
      <c r="E5" s="9" t="s">
        <v>123</v>
      </c>
      <c r="F5" s="9" t="s">
        <v>124</v>
      </c>
      <c r="G5" s="9" t="s">
        <v>125</v>
      </c>
      <c r="H5" s="9" t="s">
        <v>126</v>
      </c>
    </row>
    <row r="6" spans="1:8" ht="19.95" customHeight="1" x14ac:dyDescent="0.3">
      <c r="A6" s="4"/>
      <c r="B6" s="4">
        <v>1</v>
      </c>
      <c r="C6" s="4" t="s">
        <v>127</v>
      </c>
      <c r="D6" s="4" t="s">
        <v>128</v>
      </c>
      <c r="E6" s="4" t="s">
        <v>129</v>
      </c>
      <c r="F6" s="4" t="s">
        <v>130</v>
      </c>
      <c r="G6" s="4"/>
      <c r="H6" s="4">
        <v>1</v>
      </c>
    </row>
    <row r="7" spans="1:8" ht="19.95" customHeight="1" x14ac:dyDescent="0.3">
      <c r="A7" s="2"/>
      <c r="B7" s="2">
        <v>1</v>
      </c>
      <c r="C7" s="2" t="s">
        <v>127</v>
      </c>
      <c r="D7" s="2" t="s">
        <v>131</v>
      </c>
      <c r="E7" s="2" t="s">
        <v>132</v>
      </c>
      <c r="F7" s="2" t="s">
        <v>133</v>
      </c>
      <c r="G7" s="2"/>
      <c r="H7" s="2">
        <v>2</v>
      </c>
    </row>
    <row r="8" spans="1:8" ht="19.95" customHeight="1" x14ac:dyDescent="0.3">
      <c r="A8" s="4"/>
      <c r="B8" s="4">
        <v>1</v>
      </c>
      <c r="C8" s="4" t="s">
        <v>127</v>
      </c>
      <c r="D8" s="4" t="s">
        <v>134</v>
      </c>
      <c r="E8" s="4" t="s">
        <v>135</v>
      </c>
      <c r="F8" s="4" t="s">
        <v>136</v>
      </c>
      <c r="G8" s="4"/>
      <c r="H8" s="4">
        <v>3</v>
      </c>
    </row>
    <row r="9" spans="1:8" ht="19.95" customHeight="1" x14ac:dyDescent="0.3">
      <c r="A9" s="2"/>
      <c r="B9" s="2">
        <v>1</v>
      </c>
      <c r="C9" s="2" t="s">
        <v>127</v>
      </c>
      <c r="D9" s="2" t="s">
        <v>137</v>
      </c>
      <c r="E9" s="2" t="s">
        <v>138</v>
      </c>
      <c r="F9" s="2" t="s">
        <v>139</v>
      </c>
      <c r="G9" s="2"/>
      <c r="H9" s="2">
        <v>4</v>
      </c>
    </row>
    <row r="10" spans="1:8" ht="19.95" customHeight="1" x14ac:dyDescent="0.3">
      <c r="A10" s="4"/>
      <c r="B10" s="4">
        <v>1</v>
      </c>
      <c r="C10" s="4" t="s">
        <v>127</v>
      </c>
      <c r="D10" s="4" t="s">
        <v>140</v>
      </c>
      <c r="E10" s="4" t="s">
        <v>141</v>
      </c>
      <c r="F10" s="4" t="s">
        <v>142</v>
      </c>
      <c r="G10" s="4"/>
      <c r="H10" s="4">
        <v>5</v>
      </c>
    </row>
    <row r="11" spans="1:8" ht="19.95" customHeight="1" x14ac:dyDescent="0.3">
      <c r="A11" s="2"/>
      <c r="B11" s="2">
        <v>2</v>
      </c>
      <c r="C11" s="2" t="s">
        <v>127</v>
      </c>
      <c r="D11" s="2" t="s">
        <v>143</v>
      </c>
      <c r="E11" s="2" t="s">
        <v>129</v>
      </c>
      <c r="F11" s="2" t="s">
        <v>144</v>
      </c>
      <c r="G11" s="2"/>
      <c r="H11" s="2">
        <v>1</v>
      </c>
    </row>
    <row r="12" spans="1:8" ht="19.95" customHeight="1" x14ac:dyDescent="0.3">
      <c r="A12" s="4"/>
      <c r="B12" s="4">
        <v>2</v>
      </c>
      <c r="C12" s="4" t="s">
        <v>127</v>
      </c>
      <c r="D12" s="4" t="s">
        <v>145</v>
      </c>
      <c r="E12" s="4" t="s">
        <v>146</v>
      </c>
      <c r="F12" s="4" t="s">
        <v>147</v>
      </c>
      <c r="G12" s="4"/>
      <c r="H12" s="4">
        <v>2</v>
      </c>
    </row>
    <row r="13" spans="1:8" ht="19.95" customHeight="1" x14ac:dyDescent="0.3">
      <c r="A13" s="2"/>
      <c r="B13" s="2">
        <v>2</v>
      </c>
      <c r="C13" s="2" t="s">
        <v>127</v>
      </c>
      <c r="D13" s="2" t="s">
        <v>148</v>
      </c>
      <c r="E13" s="2" t="s">
        <v>149</v>
      </c>
      <c r="F13" s="2" t="s">
        <v>150</v>
      </c>
      <c r="G13" s="2"/>
      <c r="H13" s="2">
        <v>3</v>
      </c>
    </row>
    <row r="14" spans="1:8" ht="19.95" customHeight="1" x14ac:dyDescent="0.3">
      <c r="A14" s="4"/>
      <c r="B14" s="4">
        <v>1</v>
      </c>
      <c r="C14" s="4" t="s">
        <v>151</v>
      </c>
      <c r="D14" s="4" t="s">
        <v>152</v>
      </c>
      <c r="E14" s="4" t="s">
        <v>153</v>
      </c>
      <c r="F14" s="4" t="s">
        <v>154</v>
      </c>
      <c r="G14" s="4"/>
      <c r="H14" s="4">
        <v>1</v>
      </c>
    </row>
    <row r="15" spans="1:8" ht="19.95" customHeight="1" x14ac:dyDescent="0.3">
      <c r="A15" s="2"/>
      <c r="B15" s="2">
        <v>1</v>
      </c>
      <c r="C15" s="2" t="s">
        <v>151</v>
      </c>
      <c r="D15" s="2" t="s">
        <v>155</v>
      </c>
      <c r="E15" s="2" t="s">
        <v>156</v>
      </c>
      <c r="F15" s="2" t="s">
        <v>157</v>
      </c>
      <c r="G15" s="2"/>
      <c r="H15" s="2">
        <v>2</v>
      </c>
    </row>
    <row r="16" spans="1:8" ht="19.95" customHeight="1" x14ac:dyDescent="0.3">
      <c r="A16" s="4"/>
      <c r="B16" s="4">
        <v>1</v>
      </c>
      <c r="C16" s="4" t="s">
        <v>151</v>
      </c>
      <c r="D16" s="4" t="s">
        <v>158</v>
      </c>
      <c r="E16" s="4" t="s">
        <v>159</v>
      </c>
      <c r="F16" s="4" t="s">
        <v>160</v>
      </c>
      <c r="G16" s="4"/>
      <c r="H16" s="4">
        <v>3</v>
      </c>
    </row>
    <row r="17" spans="1:8" ht="19.95" customHeight="1" x14ac:dyDescent="0.3">
      <c r="A17" s="2"/>
      <c r="B17" s="2">
        <v>1</v>
      </c>
      <c r="C17" s="2" t="s">
        <v>151</v>
      </c>
      <c r="D17" s="2" t="s">
        <v>161</v>
      </c>
      <c r="E17" s="2" t="s">
        <v>162</v>
      </c>
      <c r="F17" s="2" t="s">
        <v>163</v>
      </c>
      <c r="G17" s="2"/>
      <c r="H17" s="2">
        <v>4</v>
      </c>
    </row>
    <row r="18" spans="1:8" ht="19.95" customHeight="1" x14ac:dyDescent="0.3">
      <c r="A18" s="4"/>
      <c r="B18" s="4">
        <v>1</v>
      </c>
      <c r="C18" s="4" t="s">
        <v>164</v>
      </c>
      <c r="D18" s="4" t="s">
        <v>165</v>
      </c>
      <c r="E18" s="4" t="s">
        <v>166</v>
      </c>
      <c r="F18" s="4" t="s">
        <v>167</v>
      </c>
      <c r="G18" s="4"/>
      <c r="H18" s="4">
        <v>1</v>
      </c>
    </row>
    <row r="19" spans="1:8" ht="19.95" customHeight="1" x14ac:dyDescent="0.3">
      <c r="A19" s="2"/>
      <c r="B19" s="2">
        <v>1</v>
      </c>
      <c r="C19" s="2" t="s">
        <v>164</v>
      </c>
      <c r="D19" s="2" t="s">
        <v>168</v>
      </c>
      <c r="E19" s="2" t="s">
        <v>169</v>
      </c>
      <c r="F19" s="2" t="s">
        <v>170</v>
      </c>
      <c r="G19" s="2"/>
      <c r="H19" s="2">
        <v>2</v>
      </c>
    </row>
    <row r="20" spans="1:8" ht="19.95" customHeight="1" x14ac:dyDescent="0.3">
      <c r="A20" s="4"/>
      <c r="B20" s="4">
        <v>1</v>
      </c>
      <c r="C20" s="4" t="s">
        <v>164</v>
      </c>
      <c r="D20" s="4" t="s">
        <v>171</v>
      </c>
      <c r="E20" s="4" t="s">
        <v>172</v>
      </c>
      <c r="F20" s="4" t="s">
        <v>173</v>
      </c>
      <c r="G20" s="4"/>
      <c r="H20" s="4">
        <v>3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showGridLines="0" workbookViewId="0"/>
  </sheetViews>
  <sheetFormatPr defaultRowHeight="14.4" x14ac:dyDescent="0.3"/>
  <cols>
    <col min="1" max="1" width="3" customWidth="1"/>
    <col min="2" max="3" width="8" customWidth="1"/>
    <col min="4" max="4" width="30" customWidth="1"/>
    <col min="5" max="5" width="10" customWidth="1"/>
    <col min="6" max="6" width="14" customWidth="1"/>
    <col min="7" max="7" width="36" customWidth="1"/>
    <col min="8" max="8" width="12" customWidth="1"/>
  </cols>
  <sheetData>
    <row r="2" spans="1:8" ht="30" customHeight="1" x14ac:dyDescent="0.3">
      <c r="B2" s="20" t="s">
        <v>174</v>
      </c>
      <c r="C2" s="16"/>
      <c r="D2" s="16"/>
      <c r="E2" s="16"/>
      <c r="F2" s="16"/>
      <c r="G2" s="16"/>
      <c r="H2" s="16"/>
    </row>
    <row r="3" spans="1:8" ht="16.05" customHeight="1" x14ac:dyDescent="0.3">
      <c r="B3" s="18" t="s">
        <v>175</v>
      </c>
      <c r="C3" s="16"/>
      <c r="D3" s="16"/>
      <c r="E3" s="16"/>
      <c r="F3" s="16"/>
      <c r="G3" s="16"/>
      <c r="H3" s="16"/>
    </row>
    <row r="5" spans="1:8" ht="28.05" customHeight="1" x14ac:dyDescent="0.3">
      <c r="A5" s="3"/>
      <c r="B5" s="3" t="s">
        <v>120</v>
      </c>
      <c r="C5" s="3" t="s">
        <v>121</v>
      </c>
      <c r="D5" s="3" t="s">
        <v>90</v>
      </c>
      <c r="E5" s="3" t="s">
        <v>176</v>
      </c>
      <c r="F5" s="3" t="s">
        <v>177</v>
      </c>
      <c r="G5" s="3" t="s">
        <v>178</v>
      </c>
      <c r="H5" s="3" t="s">
        <v>126</v>
      </c>
    </row>
    <row r="6" spans="1:8" ht="19.95" customHeight="1" x14ac:dyDescent="0.3">
      <c r="A6" s="4"/>
      <c r="B6" s="4">
        <v>1</v>
      </c>
      <c r="C6" s="4" t="s">
        <v>127</v>
      </c>
      <c r="D6" s="4" t="s">
        <v>179</v>
      </c>
      <c r="E6" s="4" t="s">
        <v>164</v>
      </c>
      <c r="F6" s="4" t="s">
        <v>180</v>
      </c>
      <c r="G6" s="4" t="s">
        <v>181</v>
      </c>
      <c r="H6" s="4">
        <v>1</v>
      </c>
    </row>
    <row r="7" spans="1:8" ht="19.95" customHeight="1" x14ac:dyDescent="0.3">
      <c r="A7" s="2"/>
      <c r="B7" s="2">
        <v>1</v>
      </c>
      <c r="C7" s="2" t="s">
        <v>127</v>
      </c>
      <c r="D7" s="2" t="s">
        <v>182</v>
      </c>
      <c r="E7" s="2" t="s">
        <v>183</v>
      </c>
      <c r="F7" s="2" t="s">
        <v>184</v>
      </c>
      <c r="G7" s="2" t="s">
        <v>185</v>
      </c>
      <c r="H7" s="2">
        <v>2</v>
      </c>
    </row>
    <row r="8" spans="1:8" ht="19.95" customHeight="1" x14ac:dyDescent="0.3">
      <c r="A8" s="4"/>
      <c r="B8" s="4">
        <v>1</v>
      </c>
      <c r="C8" s="4" t="s">
        <v>127</v>
      </c>
      <c r="D8" s="4" t="s">
        <v>186</v>
      </c>
      <c r="E8" s="4" t="s">
        <v>164</v>
      </c>
      <c r="F8" s="4" t="s">
        <v>187</v>
      </c>
      <c r="G8" s="4" t="s">
        <v>188</v>
      </c>
      <c r="H8" s="4">
        <v>3</v>
      </c>
    </row>
    <row r="9" spans="1:8" ht="19.95" customHeight="1" x14ac:dyDescent="0.3">
      <c r="A9" s="2"/>
      <c r="B9" s="2">
        <v>1</v>
      </c>
      <c r="C9" s="2" t="s">
        <v>127</v>
      </c>
      <c r="D9" s="2" t="s">
        <v>189</v>
      </c>
      <c r="E9" s="2" t="s">
        <v>164</v>
      </c>
      <c r="F9" s="2" t="s">
        <v>190</v>
      </c>
      <c r="G9" s="2" t="s">
        <v>191</v>
      </c>
      <c r="H9" s="2">
        <v>4</v>
      </c>
    </row>
    <row r="10" spans="1:8" ht="19.95" customHeight="1" x14ac:dyDescent="0.3">
      <c r="A10" s="4"/>
      <c r="B10" s="4">
        <v>2</v>
      </c>
      <c r="C10" s="4" t="s">
        <v>127</v>
      </c>
      <c r="D10" s="4" t="s">
        <v>192</v>
      </c>
      <c r="E10" s="4" t="s">
        <v>164</v>
      </c>
      <c r="F10" s="4" t="s">
        <v>193</v>
      </c>
      <c r="G10" s="4" t="s">
        <v>194</v>
      </c>
      <c r="H10" s="4">
        <v>1</v>
      </c>
    </row>
    <row r="11" spans="1:8" ht="19.95" customHeight="1" x14ac:dyDescent="0.3">
      <c r="A11" s="2"/>
      <c r="B11" s="2">
        <v>2</v>
      </c>
      <c r="C11" s="2" t="s">
        <v>127</v>
      </c>
      <c r="D11" s="2" t="s">
        <v>195</v>
      </c>
      <c r="E11" s="2" t="s">
        <v>164</v>
      </c>
      <c r="F11" s="2" t="s">
        <v>196</v>
      </c>
      <c r="G11" s="2" t="s">
        <v>197</v>
      </c>
      <c r="H11" s="2">
        <v>2</v>
      </c>
    </row>
    <row r="12" spans="1:8" ht="19.95" customHeight="1" x14ac:dyDescent="0.3">
      <c r="A12" s="4"/>
      <c r="B12" s="4">
        <v>1</v>
      </c>
      <c r="C12" s="4" t="s">
        <v>151</v>
      </c>
      <c r="D12" s="4" t="s">
        <v>198</v>
      </c>
      <c r="E12" s="4" t="s">
        <v>164</v>
      </c>
      <c r="F12" s="4" t="s">
        <v>199</v>
      </c>
      <c r="G12" s="4" t="s">
        <v>200</v>
      </c>
      <c r="H12" s="4">
        <v>1</v>
      </c>
    </row>
    <row r="13" spans="1:8" ht="19.95" customHeight="1" x14ac:dyDescent="0.3">
      <c r="A13" s="2"/>
      <c r="B13" s="2">
        <v>1</v>
      </c>
      <c r="C13" s="2" t="s">
        <v>151</v>
      </c>
      <c r="D13" s="2" t="s">
        <v>201</v>
      </c>
      <c r="E13" s="2" t="s">
        <v>183</v>
      </c>
      <c r="F13" s="2" t="s">
        <v>202</v>
      </c>
      <c r="G13" s="2" t="s">
        <v>203</v>
      </c>
      <c r="H13" s="2">
        <v>2</v>
      </c>
    </row>
    <row r="14" spans="1:8" ht="19.95" customHeight="1" x14ac:dyDescent="0.3">
      <c r="A14" s="4"/>
      <c r="B14" s="4">
        <v>1</v>
      </c>
      <c r="C14" s="4" t="s">
        <v>164</v>
      </c>
      <c r="D14" s="4" t="s">
        <v>204</v>
      </c>
      <c r="E14" s="4" t="s">
        <v>164</v>
      </c>
      <c r="F14" s="4" t="s">
        <v>205</v>
      </c>
      <c r="G14" s="4" t="s">
        <v>95</v>
      </c>
      <c r="H14" s="4">
        <v>1</v>
      </c>
    </row>
    <row r="15" spans="1:8" ht="19.95" customHeight="1" x14ac:dyDescent="0.3">
      <c r="A15" s="2"/>
      <c r="B15" s="2">
        <v>1</v>
      </c>
      <c r="C15" s="2" t="s">
        <v>164</v>
      </c>
      <c r="D15" s="2" t="s">
        <v>206</v>
      </c>
      <c r="E15" s="2" t="s">
        <v>183</v>
      </c>
      <c r="F15" s="2" t="s">
        <v>207</v>
      </c>
      <c r="G15" s="2" t="s">
        <v>208</v>
      </c>
      <c r="H15" s="2">
        <v>2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showGridLines="0" workbookViewId="0"/>
  </sheetViews>
  <sheetFormatPr defaultRowHeight="14.4" x14ac:dyDescent="0.3"/>
  <cols>
    <col min="1" max="1" width="3" customWidth="1"/>
    <col min="2" max="3" width="8" customWidth="1"/>
    <col min="4" max="4" width="20" customWidth="1"/>
    <col min="5" max="5" width="12" customWidth="1"/>
    <col min="6" max="6" width="8" customWidth="1"/>
    <col min="7" max="7" width="55" customWidth="1"/>
    <col min="8" max="8" width="18" customWidth="1"/>
  </cols>
  <sheetData>
    <row r="2" spans="1:8" ht="30" customHeight="1" x14ac:dyDescent="0.3">
      <c r="B2" s="22" t="s">
        <v>209</v>
      </c>
      <c r="C2" s="16"/>
      <c r="D2" s="16"/>
      <c r="E2" s="16"/>
      <c r="F2" s="16"/>
      <c r="G2" s="16"/>
      <c r="H2" s="16"/>
    </row>
    <row r="3" spans="1:8" ht="16.05" customHeight="1" x14ac:dyDescent="0.3">
      <c r="B3" s="18" t="s">
        <v>210</v>
      </c>
      <c r="C3" s="16"/>
      <c r="D3" s="16"/>
      <c r="E3" s="16"/>
      <c r="F3" s="16"/>
      <c r="G3" s="16"/>
      <c r="H3" s="16"/>
    </row>
    <row r="5" spans="1:8" ht="28.05" customHeight="1" x14ac:dyDescent="0.3">
      <c r="A5" s="6"/>
      <c r="B5" s="6" t="s">
        <v>120</v>
      </c>
      <c r="C5" s="6" t="s">
        <v>121</v>
      </c>
      <c r="D5" s="6" t="s">
        <v>211</v>
      </c>
      <c r="E5" s="6" t="s">
        <v>212</v>
      </c>
      <c r="F5" s="6" t="s">
        <v>213</v>
      </c>
      <c r="G5" s="6" t="s">
        <v>214</v>
      </c>
      <c r="H5" s="6" t="s">
        <v>126</v>
      </c>
    </row>
    <row r="6" spans="1:8" ht="19.95" customHeight="1" x14ac:dyDescent="0.3">
      <c r="A6" s="4"/>
      <c r="B6" s="4">
        <v>1</v>
      </c>
      <c r="C6" s="4" t="s">
        <v>127</v>
      </c>
      <c r="D6" s="4" t="s">
        <v>215</v>
      </c>
      <c r="E6" s="4" t="s">
        <v>216</v>
      </c>
      <c r="F6" s="4">
        <v>5</v>
      </c>
      <c r="G6" s="4" t="s">
        <v>217</v>
      </c>
      <c r="H6" s="4">
        <v>1</v>
      </c>
    </row>
    <row r="7" spans="1:8" ht="19.95" customHeight="1" x14ac:dyDescent="0.3">
      <c r="A7" s="2"/>
      <c r="B7" s="2">
        <v>1</v>
      </c>
      <c r="C7" s="2" t="s">
        <v>127</v>
      </c>
      <c r="D7" s="2" t="s">
        <v>218</v>
      </c>
      <c r="E7" s="2" t="s">
        <v>219</v>
      </c>
      <c r="F7" s="2">
        <v>5</v>
      </c>
      <c r="G7" s="2" t="s">
        <v>220</v>
      </c>
      <c r="H7" s="2">
        <v>2</v>
      </c>
    </row>
    <row r="8" spans="1:8" ht="19.95" customHeight="1" x14ac:dyDescent="0.3">
      <c r="A8" s="4"/>
      <c r="B8" s="4">
        <v>1</v>
      </c>
      <c r="C8" s="4" t="s">
        <v>127</v>
      </c>
      <c r="D8" s="4" t="s">
        <v>221</v>
      </c>
      <c r="E8" s="4" t="s">
        <v>222</v>
      </c>
      <c r="F8" s="4">
        <v>4</v>
      </c>
      <c r="G8" s="4" t="s">
        <v>223</v>
      </c>
      <c r="H8" s="4">
        <v>3</v>
      </c>
    </row>
    <row r="9" spans="1:8" ht="19.95" customHeight="1" x14ac:dyDescent="0.3">
      <c r="A9" s="2"/>
      <c r="B9" s="2">
        <v>2</v>
      </c>
      <c r="C9" s="2" t="s">
        <v>127</v>
      </c>
      <c r="D9" s="2" t="s">
        <v>224</v>
      </c>
      <c r="E9" s="2" t="s">
        <v>225</v>
      </c>
      <c r="F9" s="2">
        <v>5</v>
      </c>
      <c r="G9" s="2" t="s">
        <v>226</v>
      </c>
      <c r="H9" s="2">
        <v>1</v>
      </c>
    </row>
    <row r="10" spans="1:8" ht="19.95" customHeight="1" x14ac:dyDescent="0.3">
      <c r="A10" s="4"/>
      <c r="B10" s="4">
        <v>2</v>
      </c>
      <c r="C10" s="4" t="s">
        <v>127</v>
      </c>
      <c r="D10" s="4" t="s">
        <v>227</v>
      </c>
      <c r="E10" s="4" t="s">
        <v>228</v>
      </c>
      <c r="F10" s="4">
        <v>4</v>
      </c>
      <c r="G10" s="4" t="s">
        <v>229</v>
      </c>
      <c r="H10" s="4">
        <v>2</v>
      </c>
    </row>
    <row r="11" spans="1:8" ht="19.95" customHeight="1" x14ac:dyDescent="0.3">
      <c r="A11" s="2"/>
      <c r="B11" s="2">
        <v>1</v>
      </c>
      <c r="C11" s="2" t="s">
        <v>151</v>
      </c>
      <c r="D11" s="2" t="s">
        <v>230</v>
      </c>
      <c r="E11" s="2" t="s">
        <v>231</v>
      </c>
      <c r="F11" s="2">
        <v>5</v>
      </c>
      <c r="G11" s="2" t="s">
        <v>232</v>
      </c>
      <c r="H11" s="2">
        <v>1</v>
      </c>
    </row>
    <row r="12" spans="1:8" ht="19.95" customHeight="1" x14ac:dyDescent="0.3">
      <c r="A12" s="4"/>
      <c r="B12" s="4">
        <v>1</v>
      </c>
      <c r="C12" s="4" t="s">
        <v>164</v>
      </c>
      <c r="D12" s="4" t="s">
        <v>233</v>
      </c>
      <c r="E12" s="4" t="s">
        <v>234</v>
      </c>
      <c r="F12" s="4">
        <v>4</v>
      </c>
      <c r="G12" s="4" t="s">
        <v>235</v>
      </c>
      <c r="H12" s="4">
        <v>1</v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📋 Нұсқаулық</vt:lpstr>
      <vt:lpstr>🎬 Видео сабақтар</vt:lpstr>
      <vt:lpstr>📑 PDF материалдар</vt:lpstr>
      <vt:lpstr>📊 Нәтиже</vt:lpstr>
      <vt:lpstr>📚 Тараулар</vt:lpstr>
      <vt:lpstr>📎 Материалдар</vt:lpstr>
      <vt:lpstr>💬 Пікірлер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2026-05-10T16:32:39Z</dcterms:created>
  <dcterms:modified xsi:type="dcterms:W3CDTF">2026-05-15T05:59:51Z</dcterms:modified>
</cp:coreProperties>
</file>