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urtileu\Downloads\"/>
    </mc:Choice>
  </mc:AlternateContent>
  <bookViews>
    <workbookView xWindow="0" yWindow="0" windowWidth="23040" windowHeight="8808"/>
  </bookViews>
  <sheets>
    <sheet name="👤 Пайдаланушылар" sheetId="1" r:id="rId1"/>
    <sheet name="🎓 Мұғалім профилі" sheetId="2" r:id="rId2"/>
    <sheet name="📊 Оқушы нәтижелері" sheetId="3" r:id="rId3"/>
    <sheet name="📚 Сабақ тізімі" sheetId="4" r:id="rId4"/>
    <sheet name="💬 Пікірлер" sheetId="5" r:id="rId5"/>
    <sheet name="📈 Статистика" sheetId="6" r:id="rId6"/>
  </sheets>
  <calcPr calcId="152511"/>
</workbook>
</file>

<file path=xl/calcChain.xml><?xml version="1.0" encoding="utf-8"?>
<calcChain xmlns="http://schemas.openxmlformats.org/spreadsheetml/2006/main">
  <c r="C12" i="6" l="1"/>
  <c r="C11" i="6"/>
  <c r="C10" i="6"/>
  <c r="C9" i="6"/>
  <c r="C8" i="6"/>
  <c r="C7" i="6"/>
  <c r="C6" i="6"/>
  <c r="C5" i="6"/>
</calcChain>
</file>

<file path=xl/sharedStrings.xml><?xml version="1.0" encoding="utf-8"?>
<sst xmlns="http://schemas.openxmlformats.org/spreadsheetml/2006/main" count="322" uniqueCount="161">
  <si>
    <t>👤 ПАЙДАЛАНУШЫЛАР ДЕРЕКҚОРЫ</t>
  </si>
  <si>
    <t>Рөл: мұғалім / оқушы  |  Статус: белсенді / бұғатталған  |  Пароль: SHA-256 хэш</t>
  </si>
  <si>
    <t>ID</t>
  </si>
  <si>
    <t>Тегі, аты</t>
  </si>
  <si>
    <t>Логин (email)</t>
  </si>
  <si>
    <t>Пароль (хэш)</t>
  </si>
  <si>
    <t>Рөл</t>
  </si>
  <si>
    <t>Сынып</t>
  </si>
  <si>
    <t>Статус</t>
  </si>
  <si>
    <t>Тіркелген күн</t>
  </si>
  <si>
    <t>Соңғы кіру</t>
  </si>
  <si>
    <t>Мектеп</t>
  </si>
  <si>
    <t>Ескерту</t>
  </si>
  <si>
    <t>USR001</t>
  </si>
  <si>
    <t>Айгүл Сейткали</t>
  </si>
  <si>
    <t>aigul@school.kz</t>
  </si>
  <si>
    <t>мұғалім</t>
  </si>
  <si>
    <t>—</t>
  </si>
  <si>
    <t>белсенді</t>
  </si>
  <si>
    <t>2025-09-01</t>
  </si>
  <si>
    <t>2026-04-22</t>
  </si>
  <si>
    <t>№5 мектеп</t>
  </si>
  <si>
    <t>Қазақ тілі мен әдебиеті мұғалімі</t>
  </si>
  <si>
    <t>USR002</t>
  </si>
  <si>
    <t>Берік Омаров</t>
  </si>
  <si>
    <t>berik@school.kz</t>
  </si>
  <si>
    <t>2026-04-20</t>
  </si>
  <si>
    <t>Сынып жетекшісі</t>
  </si>
  <si>
    <t>USR003</t>
  </si>
  <si>
    <t>Дана Сейітқали</t>
  </si>
  <si>
    <t>dana.s@pupil.kz</t>
  </si>
  <si>
    <t>оқушы</t>
  </si>
  <si>
    <t>8А</t>
  </si>
  <si>
    <t>USR004</t>
  </si>
  <si>
    <t>Нұрлан Қасымов</t>
  </si>
  <si>
    <t>nurlan.k@pupil.kz</t>
  </si>
  <si>
    <t>2026-04-21</t>
  </si>
  <si>
    <t>USR005</t>
  </si>
  <si>
    <t>Айдана Бекова</t>
  </si>
  <si>
    <t>aidana.b@pupil.kz</t>
  </si>
  <si>
    <t>8Ә</t>
  </si>
  <si>
    <t>USR006</t>
  </si>
  <si>
    <t>Арман Жұмабеков</t>
  </si>
  <si>
    <t>arman.j@pupil.kz</t>
  </si>
  <si>
    <t>2026-04-19</t>
  </si>
  <si>
    <t>USR007</t>
  </si>
  <si>
    <t>Салтанат Нұрова</t>
  </si>
  <si>
    <t>saltan@pupil.kz</t>
  </si>
  <si>
    <t>8Б</t>
  </si>
  <si>
    <t>2026-04-18</t>
  </si>
  <si>
    <t>ADM001</t>
  </si>
  <si>
    <t>Администратор</t>
  </si>
  <si>
    <t>admin@school.kz</t>
  </si>
  <si>
    <t>2025-01-01</t>
  </si>
  <si>
    <t>Жүйе әкімшісі</t>
  </si>
  <si>
    <t>USR008</t>
  </si>
  <si>
    <t>USR009</t>
  </si>
  <si>
    <t>🎓 МҰҒАЛІМ ПРОФИЛІ</t>
  </si>
  <si>
    <t>Мұғалімнің толық мәліметтері мен пән туралы ақпарат</t>
  </si>
  <si>
    <t>Мұғалім ID</t>
  </si>
  <si>
    <t>Өріс атауы</t>
  </si>
  <si>
    <t>Мәні</t>
  </si>
  <si>
    <t>Соңғы өзгерту</t>
  </si>
  <si>
    <t>Толық аты</t>
  </si>
  <si>
    <t>Айгүл Жанатқызы Сейткали</t>
  </si>
  <si>
    <t>Пән</t>
  </si>
  <si>
    <t>Қазақ тілі мен әдебиеті</t>
  </si>
  <si>
    <t>Санаты</t>
  </si>
  <si>
    <t>Жоғары санат</t>
  </si>
  <si>
    <t>Жұмыс тәжірибесі</t>
  </si>
  <si>
    <t>15 жыл</t>
  </si>
  <si>
    <t>Оқытатын сыныптар</t>
  </si>
  <si>
    <t>8А, 8Ә, 8Б</t>
  </si>
  <si>
    <t>Байланыс</t>
  </si>
  <si>
    <t>Аватар жолы</t>
  </si>
  <si>
    <t>/avatars/aigul.jpg</t>
  </si>
  <si>
    <t>Тапсырмалар саны</t>
  </si>
  <si>
    <t>24</t>
  </si>
  <si>
    <t>Сабақтар саны</t>
  </si>
  <si>
    <t>48</t>
  </si>
  <si>
    <t>📊 ОҚУШЫ НӘТИЖЕЛЕРІ</t>
  </si>
  <si>
    <t>Тест және тапсырмалар бойынша барлық нәтижелер автоматты жиналады</t>
  </si>
  <si>
    <t>Оқушы ID</t>
  </si>
  <si>
    <t>Оқушы аты</t>
  </si>
  <si>
    <t>Тест / Тапсырма атауы</t>
  </si>
  <si>
    <t>Дұрыс</t>
  </si>
  <si>
    <t>Барлығы</t>
  </si>
  <si>
    <t>Пайыз %</t>
  </si>
  <si>
    <t>Деңгей</t>
  </si>
  <si>
    <t>Орындалған күн</t>
  </si>
  <si>
    <t>Абай өмірі — MCQ тест</t>
  </si>
  <si>
    <t>Жақсы</t>
  </si>
  <si>
    <t>Дұрыс/Бұрыс тапсырмасы</t>
  </si>
  <si>
    <t>Қанағат.</t>
  </si>
  <si>
    <t>Өте жақсы</t>
  </si>
  <si>
    <t>Қайталаңыз</t>
  </si>
  <si>
    <t>Қайта тапсыру керек</t>
  </si>
  <si>
    <t>Бос орын толтыру</t>
  </si>
  <si>
    <t>📚 САБАҚ ТІЗІМІ (Мұғалім басқарады)</t>
  </si>
  <si>
    <t>Файл жолдары Sabaqtar_MB.xlsx файлымен сәйкес болуы тиіс</t>
  </si>
  <si>
    <t>Сабақ атауы</t>
  </si>
  <si>
    <t>Тип</t>
  </si>
  <si>
    <t>Тақырып</t>
  </si>
  <si>
    <t>Қосылған күн</t>
  </si>
  <si>
    <t>Абай өмірі мен шығармашылығы</t>
  </si>
  <si>
    <t>video</t>
  </si>
  <si>
    <t>Оңай</t>
  </si>
  <si>
    <t>Классика</t>
  </si>
  <si>
    <t>жарияланды</t>
  </si>
  <si>
    <t>2026-04-01</t>
  </si>
  <si>
    <t>8А,8Ә,8Б</t>
  </si>
  <si>
    <t>Мұқағали лирикасы — конспект</t>
  </si>
  <si>
    <t>text</t>
  </si>
  <si>
    <t>Орташа</t>
  </si>
  <si>
    <t>Поэзия</t>
  </si>
  <si>
    <t>2026-04-05</t>
  </si>
  <si>
    <t>8А,8Ә</t>
  </si>
  <si>
    <t>«Абай жолы» эпопеясы</t>
  </si>
  <si>
    <t>pdf</t>
  </si>
  <si>
    <t>Жоғары</t>
  </si>
  <si>
    <t>2026-04-10</t>
  </si>
  <si>
    <t>Қазақ эпостары</t>
  </si>
  <si>
    <t>Эпос</t>
  </si>
  <si>
    <t>жасырылды</t>
  </si>
  <si>
    <t>2026-04-15</t>
  </si>
  <si>
    <t>Шығарма талдау — видео</t>
  </si>
  <si>
    <t>Теория</t>
  </si>
  <si>
    <t>2026-04-12</t>
  </si>
  <si>
    <t>💬 ПІКІРЛЕР — ОҚУШЫ / МҰҒАЛІМ</t>
  </si>
  <si>
    <t>Оқушы пікір жазады → Мұғалім жауап береді. Статус: күтуде / жауап берілді</t>
  </si>
  <si>
    <t>Сабақ / Тест атауы</t>
  </si>
  <si>
    <t>Рейтинг</t>
  </si>
  <si>
    <t>Пікір мәтіні</t>
  </si>
  <si>
    <t>Жазылған күн</t>
  </si>
  <si>
    <t>Мұғалім жауабы</t>
  </si>
  <si>
    <t>Жауап күні</t>
  </si>
  <si>
    <t>Өте сапалы сабақ! Абай туралы жаңа нәрселер білдім. Рахмет!</t>
  </si>
  <si>
    <t>Рахмет, Дана! Жаттыға беріңіз.</t>
  </si>
  <si>
    <t>Сабақ қызықты, бірақ кейбір бөлімдер түсіну қиын болды.</t>
  </si>
  <si>
    <t>Нұрлан, қандай бөлім? Консультация өткізейік.</t>
  </si>
  <si>
    <t>Тест ойландырды, дайындалып барғаным дұрыс болды!</t>
  </si>
  <si>
    <t>Тест қиын болды. Қайта тапсырсам бола ма?</t>
  </si>
  <si>
    <t>Арман, әрине болады. Ертең келіңіз.</t>
  </si>
  <si>
    <t>Конспект өте жақсы жазылған, барлығы анық!</t>
  </si>
  <si>
    <t>📈 ЖИЫНТЫҚ СТАТИСТИКА</t>
  </si>
  <si>
    <t>Көрсеткіш</t>
  </si>
  <si>
    <t>Мән</t>
  </si>
  <si>
    <t>Бет</t>
  </si>
  <si>
    <t>Жалпы пайдаланушылар</t>
  </si>
  <si>
    <t>👤 Пайдаланушылар</t>
  </si>
  <si>
    <t>Мұғалімдер саны</t>
  </si>
  <si>
    <t>Оқушылар саны</t>
  </si>
  <si>
    <t>Жалпы нәтижелер</t>
  </si>
  <si>
    <t>📊 Оқушы нәтижелері</t>
  </si>
  <si>
    <t>Орташа балл (%)</t>
  </si>
  <si>
    <t>Жарияланған сабақтар</t>
  </si>
  <si>
    <t>📚 Сабақ тізімі</t>
  </si>
  <si>
    <t>Жалпы пікірлер</t>
  </si>
  <si>
    <t>💬 Пікірлер</t>
  </si>
  <si>
    <t>Жауап берілген пікірлер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</si>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</sst>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&quot;%&quot;"/>
  </numFmts>
  <fonts count="12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i/>
      <sz val="9"/>
      <color rgb="FF9A8A72"/>
      <name val="Arial"/>
    </font>
    <font>
      <b/>
      <sz val="9"/>
      <color rgb="FFFFFFFF"/>
      <name val="Arial"/>
    </font>
    <font>
      <sz val="9"/>
      <color rgb="FF1A1208"/>
      <name val="Arial"/>
    </font>
    <font>
      <b/>
      <sz val="9"/>
      <color rgb="FF3A5C3A"/>
      <name val="Arial"/>
    </font>
    <font>
      <b/>
      <sz val="9"/>
      <color rgb="FF1565C0"/>
      <name val="Arial"/>
    </font>
    <font>
      <b/>
      <sz val="9"/>
      <color rgb="FFE65100"/>
      <name val="Arial"/>
    </font>
    <font>
      <b/>
      <sz val="9"/>
      <color rgb="FF8B3A1E"/>
      <name val="Arial"/>
    </font>
    <font>
      <b/>
      <sz val="10"/>
      <color rgb="FF3A5C3A"/>
      <name val="Arial"/>
    </font>
    <font>
      <sz val="9"/>
      <color rgb="FF9A8A72"/>
      <name val="Arial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A1208"/>
      </patternFill>
    </fill>
    <fill>
      <patternFill patternType="solid">
        <fgColor rgb="FFFAF6EF"/>
      </patternFill>
    </fill>
    <fill>
      <patternFill patternType="solid">
        <fgColor rgb="FFC4922A"/>
      </patternFill>
    </fill>
    <fill>
      <patternFill patternType="solid">
        <fgColor rgb="FFFDF3E0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E3F2FD"/>
      </patternFill>
    </fill>
    <fill>
      <patternFill patternType="solid">
        <fgColor rgb="FF3A5C3A"/>
      </patternFill>
    </fill>
    <fill>
      <patternFill patternType="solid">
        <fgColor rgb="FF8B3A1E"/>
      </patternFill>
    </fill>
    <fill>
      <patternFill patternType="solid">
        <fgColor rgb="FFFFF3E0"/>
      </patternFill>
    </fill>
    <fill>
      <patternFill patternType="solid">
        <fgColor rgb="FFFCE4EC"/>
      </patternFill>
    </fill>
    <fill>
      <patternFill patternType="solid">
        <fgColor rgb="FF2A3A5C"/>
      </patternFill>
    </fill>
    <fill>
      <patternFill patternType="solid">
        <fgColor rgb="FFFDF8F0"/>
      </patternFill>
    </fill>
  </fills>
  <borders count="2">
    <border>
      <left/>
      <right/>
      <top/>
      <bottom/>
      <diagonal/>
    </border>
    <border>
      <left style="thin">
        <color rgb="FFD9CDB8"/>
      </left>
      <right style="thin">
        <color rgb="FFD9CDB8"/>
      </right>
      <top style="thin">
        <color rgb="FFD9CDB8"/>
      </top>
      <bottom style="thin">
        <color rgb="FFD9CDB8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164" fontId="9" fillId="14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1" fillId="9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1" fillId="5" borderId="1" xfId="1" applyFill="1" applyBorder="1" applyAlignment="1">
      <alignment horizontal="left" vertical="center" wrapText="1"/>
    </xf>
    <xf numFmtId="0" fontId="11" fillId="7" borderId="1" xfId="1" applyFill="1" applyBorder="1" applyAlignment="1">
      <alignment horizontal="left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erik@school.kz" TargetMode="External"/><Relationship Id="rId1" Type="http://schemas.openxmlformats.org/officeDocument/2006/relationships/hyperlink" Target="mailto:aigul@school.k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5"/>
  <sheetViews>
    <sheetView showGridLines="0" tabSelected="1" workbookViewId="0">
      <pane xSplit="2" ySplit="5" topLeftCell="C6" activePane="bottomRight" state="frozen"/>
      <selection pane="topRight"/>
      <selection pane="bottomLeft"/>
      <selection pane="bottomRight" activeCell="E6" sqref="E6:E9"/>
    </sheetView>
  </sheetViews>
  <sheetFormatPr defaultRowHeight="14.4" x14ac:dyDescent="0.3"/>
  <cols>
    <col min="1" max="1" width="3" customWidth="1"/>
    <col min="2" max="2" width="6" customWidth="1"/>
    <col min="3" max="5" width="20" customWidth="1"/>
    <col min="6" max="6" width="12" customWidth="1"/>
    <col min="7" max="7" width="16" customWidth="1"/>
    <col min="8" max="8" width="12" customWidth="1"/>
    <col min="9" max="10" width="16" customWidth="1"/>
    <col min="11" max="11" width="22" customWidth="1"/>
    <col min="12" max="12" width="18" customWidth="1"/>
  </cols>
  <sheetData>
    <row r="2" spans="1:12" ht="30" customHeight="1" x14ac:dyDescent="0.3">
      <c r="B2" s="15" t="s">
        <v>0</v>
      </c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ht="15" customHeight="1" x14ac:dyDescent="0.3">
      <c r="B3" s="17" t="s">
        <v>1</v>
      </c>
      <c r="C3" s="16"/>
      <c r="D3" s="16"/>
      <c r="E3" s="16"/>
      <c r="F3" s="16"/>
      <c r="G3" s="16"/>
      <c r="H3" s="16"/>
      <c r="I3" s="16"/>
      <c r="J3" s="16"/>
      <c r="K3" s="16"/>
      <c r="L3" s="16"/>
    </row>
    <row r="5" spans="1:12" ht="28.05" customHeight="1" x14ac:dyDescent="0.3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</row>
    <row r="6" spans="1:12" ht="19.95" customHeight="1" x14ac:dyDescent="0.3">
      <c r="A6" s="2"/>
      <c r="B6" s="2" t="s">
        <v>13</v>
      </c>
      <c r="C6" s="2" t="s">
        <v>14</v>
      </c>
      <c r="D6" s="22" t="s">
        <v>15</v>
      </c>
      <c r="E6" s="2" t="s">
        <v>160</v>
      </c>
      <c r="F6" s="3" t="s">
        <v>16</v>
      </c>
      <c r="G6" s="2" t="s">
        <v>17</v>
      </c>
      <c r="H6" s="2" t="s">
        <v>18</v>
      </c>
      <c r="I6" s="2" t="s">
        <v>19</v>
      </c>
      <c r="J6" s="2" t="s">
        <v>20</v>
      </c>
      <c r="K6" s="2" t="s">
        <v>21</v>
      </c>
      <c r="L6" s="2" t="s">
        <v>22</v>
      </c>
    </row>
    <row r="7" spans="1:12" ht="19.95" customHeight="1" x14ac:dyDescent="0.3">
      <c r="A7" s="4"/>
      <c r="B7" s="4" t="s">
        <v>23</v>
      </c>
      <c r="C7" s="4" t="s">
        <v>24</v>
      </c>
      <c r="D7" s="23" t="s">
        <v>25</v>
      </c>
      <c r="E7" s="2" t="s">
        <v>160</v>
      </c>
      <c r="F7" s="3" t="s">
        <v>16</v>
      </c>
      <c r="G7" s="4" t="s">
        <v>17</v>
      </c>
      <c r="H7" s="4" t="s">
        <v>18</v>
      </c>
      <c r="I7" s="4" t="s">
        <v>19</v>
      </c>
      <c r="J7" s="4" t="s">
        <v>26</v>
      </c>
      <c r="K7" s="4" t="s">
        <v>21</v>
      </c>
      <c r="L7" s="4" t="s">
        <v>27</v>
      </c>
    </row>
    <row r="8" spans="1:12" ht="19.95" customHeight="1" x14ac:dyDescent="0.3">
      <c r="A8" s="2"/>
      <c r="B8" s="2" t="s">
        <v>28</v>
      </c>
      <c r="C8" s="2" t="s">
        <v>29</v>
      </c>
      <c r="D8" s="2" t="s">
        <v>30</v>
      </c>
      <c r="E8" s="2" t="s">
        <v>160</v>
      </c>
      <c r="F8" s="5" t="s">
        <v>31</v>
      </c>
      <c r="G8" s="2" t="s">
        <v>32</v>
      </c>
      <c r="H8" s="2" t="s">
        <v>18</v>
      </c>
      <c r="I8" s="2" t="s">
        <v>19</v>
      </c>
      <c r="J8" s="2" t="s">
        <v>20</v>
      </c>
      <c r="K8" s="2" t="s">
        <v>21</v>
      </c>
      <c r="L8" s="2"/>
    </row>
    <row r="9" spans="1:12" ht="19.95" customHeight="1" x14ac:dyDescent="0.3">
      <c r="A9" s="4"/>
      <c r="B9" s="4" t="s">
        <v>33</v>
      </c>
      <c r="C9" s="4" t="s">
        <v>34</v>
      </c>
      <c r="D9" s="4" t="s">
        <v>35</v>
      </c>
      <c r="E9" s="2" t="s">
        <v>160</v>
      </c>
      <c r="F9" s="5" t="s">
        <v>31</v>
      </c>
      <c r="G9" s="4" t="s">
        <v>32</v>
      </c>
      <c r="H9" s="4" t="s">
        <v>18</v>
      </c>
      <c r="I9" s="4" t="s">
        <v>19</v>
      </c>
      <c r="J9" s="4" t="s">
        <v>36</v>
      </c>
      <c r="K9" s="4" t="s">
        <v>21</v>
      </c>
      <c r="L9" s="4"/>
    </row>
    <row r="10" spans="1:12" ht="19.95" customHeight="1" x14ac:dyDescent="0.3">
      <c r="A10" s="2"/>
      <c r="B10" s="2" t="s">
        <v>37</v>
      </c>
      <c r="C10" s="2" t="s">
        <v>38</v>
      </c>
      <c r="D10" s="2" t="s">
        <v>39</v>
      </c>
      <c r="E10" s="2" t="s">
        <v>160</v>
      </c>
      <c r="F10" s="5" t="s">
        <v>31</v>
      </c>
      <c r="G10" s="2" t="s">
        <v>40</v>
      </c>
      <c r="H10" s="2" t="s">
        <v>18</v>
      </c>
      <c r="I10" s="2" t="s">
        <v>19</v>
      </c>
      <c r="J10" s="2" t="s">
        <v>26</v>
      </c>
      <c r="K10" s="2" t="s">
        <v>21</v>
      </c>
      <c r="L10" s="2"/>
    </row>
    <row r="11" spans="1:12" ht="19.95" customHeight="1" x14ac:dyDescent="0.3">
      <c r="A11" s="4"/>
      <c r="B11" s="4" t="s">
        <v>41</v>
      </c>
      <c r="C11" s="4" t="s">
        <v>42</v>
      </c>
      <c r="D11" s="4" t="s">
        <v>43</v>
      </c>
      <c r="E11" s="2" t="s">
        <v>160</v>
      </c>
      <c r="F11" s="5" t="s">
        <v>31</v>
      </c>
      <c r="G11" s="4" t="s">
        <v>40</v>
      </c>
      <c r="H11" s="4" t="s">
        <v>18</v>
      </c>
      <c r="I11" s="4" t="s">
        <v>19</v>
      </c>
      <c r="J11" s="4" t="s">
        <v>44</v>
      </c>
      <c r="K11" s="4" t="s">
        <v>21</v>
      </c>
      <c r="L11" s="4"/>
    </row>
    <row r="12" spans="1:12" ht="19.95" customHeight="1" x14ac:dyDescent="0.3">
      <c r="A12" s="2"/>
      <c r="B12" s="2" t="s">
        <v>45</v>
      </c>
      <c r="C12" s="2" t="s">
        <v>46</v>
      </c>
      <c r="D12" s="2" t="s">
        <v>47</v>
      </c>
      <c r="E12" s="2" t="s">
        <v>160</v>
      </c>
      <c r="F12" s="5" t="s">
        <v>31</v>
      </c>
      <c r="G12" s="2" t="s">
        <v>48</v>
      </c>
      <c r="H12" s="2" t="s">
        <v>18</v>
      </c>
      <c r="I12" s="2" t="s">
        <v>19</v>
      </c>
      <c r="J12" s="2" t="s">
        <v>49</v>
      </c>
      <c r="K12" s="2" t="s">
        <v>21</v>
      </c>
      <c r="L12" s="2"/>
    </row>
    <row r="13" spans="1:12" ht="19.95" customHeight="1" x14ac:dyDescent="0.3">
      <c r="A13" s="4"/>
      <c r="B13" s="4" t="s">
        <v>50</v>
      </c>
      <c r="C13" s="4" t="s">
        <v>51</v>
      </c>
      <c r="D13" s="4" t="s">
        <v>52</v>
      </c>
      <c r="E13" s="2" t="s">
        <v>160</v>
      </c>
      <c r="F13" s="3" t="s">
        <v>16</v>
      </c>
      <c r="G13" s="4" t="s">
        <v>17</v>
      </c>
      <c r="H13" s="4" t="s">
        <v>18</v>
      </c>
      <c r="I13" s="4" t="s">
        <v>53</v>
      </c>
      <c r="J13" s="4" t="s">
        <v>20</v>
      </c>
      <c r="K13" s="4" t="s">
        <v>21</v>
      </c>
      <c r="L13" s="4" t="s">
        <v>54</v>
      </c>
    </row>
    <row r="14" spans="1:12" ht="19.95" customHeight="1" x14ac:dyDescent="0.3">
      <c r="A14" s="2"/>
      <c r="B14" s="2" t="s">
        <v>55</v>
      </c>
      <c r="C14" s="2"/>
      <c r="D14" s="2"/>
      <c r="E14" s="2"/>
      <c r="F14" s="5" t="s">
        <v>31</v>
      </c>
      <c r="G14" s="2"/>
      <c r="H14" s="2" t="s">
        <v>18</v>
      </c>
      <c r="I14" s="2"/>
      <c r="J14" s="2"/>
      <c r="K14" s="2"/>
      <c r="L14" s="2"/>
    </row>
    <row r="15" spans="1:12" ht="19.95" customHeight="1" x14ac:dyDescent="0.3">
      <c r="A15" s="4"/>
      <c r="B15" s="4" t="s">
        <v>56</v>
      </c>
      <c r="C15" s="4"/>
      <c r="D15" s="4"/>
      <c r="E15" s="4"/>
      <c r="F15" s="5" t="s">
        <v>31</v>
      </c>
      <c r="G15" s="4"/>
      <c r="H15" s="4" t="s">
        <v>18</v>
      </c>
      <c r="I15" s="4"/>
      <c r="J15" s="4"/>
      <c r="K15" s="4"/>
      <c r="L15" s="4"/>
    </row>
  </sheetData>
  <mergeCells count="2">
    <mergeCell ref="B2:L2"/>
    <mergeCell ref="B3:L3"/>
  </mergeCells>
  <dataValidations disablePrompts="1" count="2">
    <dataValidation type="list" sqref="F6:F500">
      <formula1>"мұғалім,оқушы"</formula1>
    </dataValidation>
    <dataValidation type="list" sqref="H6:H500">
      <formula1>"белсенді,бұғатталған"</formula1>
    </dataValidation>
  </dataValidations>
  <hyperlinks>
    <hyperlink ref="D6" r:id="rId1"/>
    <hyperlink ref="D7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4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" customWidth="1"/>
    <col min="2" max="2" width="12" customWidth="1"/>
    <col min="3" max="3" width="28" customWidth="1"/>
    <col min="4" max="4" width="45" customWidth="1"/>
    <col min="5" max="5" width="20" customWidth="1"/>
  </cols>
  <sheetData>
    <row r="2" spans="1:5" ht="30" customHeight="1" x14ac:dyDescent="0.3">
      <c r="B2" s="18" t="s">
        <v>57</v>
      </c>
      <c r="C2" s="16"/>
      <c r="D2" s="16"/>
      <c r="E2" s="16"/>
    </row>
    <row r="3" spans="1:5" ht="15" customHeight="1" x14ac:dyDescent="0.3">
      <c r="B3" s="17" t="s">
        <v>58</v>
      </c>
      <c r="C3" s="16"/>
      <c r="D3" s="16"/>
      <c r="E3" s="16"/>
    </row>
    <row r="5" spans="1:5" ht="28.05" customHeight="1" x14ac:dyDescent="0.3">
      <c r="A5" s="6"/>
      <c r="B5" s="6" t="s">
        <v>59</v>
      </c>
      <c r="C5" s="6" t="s">
        <v>60</v>
      </c>
      <c r="D5" s="6" t="s">
        <v>61</v>
      </c>
      <c r="E5" s="6" t="s">
        <v>62</v>
      </c>
    </row>
    <row r="6" spans="1:5" ht="19.95" customHeight="1" x14ac:dyDescent="0.3">
      <c r="A6" s="2"/>
      <c r="B6" s="2" t="s">
        <v>13</v>
      </c>
      <c r="C6" s="2" t="s">
        <v>63</v>
      </c>
      <c r="D6" s="2" t="s">
        <v>64</v>
      </c>
      <c r="E6" s="2" t="s">
        <v>19</v>
      </c>
    </row>
    <row r="7" spans="1:5" ht="19.95" customHeight="1" x14ac:dyDescent="0.3">
      <c r="A7" s="4"/>
      <c r="B7" s="4" t="s">
        <v>13</v>
      </c>
      <c r="C7" s="4" t="s">
        <v>65</v>
      </c>
      <c r="D7" s="4" t="s">
        <v>66</v>
      </c>
      <c r="E7" s="4" t="s">
        <v>19</v>
      </c>
    </row>
    <row r="8" spans="1:5" ht="19.95" customHeight="1" x14ac:dyDescent="0.3">
      <c r="A8" s="2"/>
      <c r="B8" s="2" t="s">
        <v>13</v>
      </c>
      <c r="C8" s="2" t="s">
        <v>67</v>
      </c>
      <c r="D8" s="2" t="s">
        <v>68</v>
      </c>
      <c r="E8" s="2" t="s">
        <v>19</v>
      </c>
    </row>
    <row r="9" spans="1:5" ht="19.95" customHeight="1" x14ac:dyDescent="0.3">
      <c r="A9" s="4"/>
      <c r="B9" s="4" t="s">
        <v>13</v>
      </c>
      <c r="C9" s="4" t="s">
        <v>69</v>
      </c>
      <c r="D9" s="4" t="s">
        <v>70</v>
      </c>
      <c r="E9" s="4" t="s">
        <v>19</v>
      </c>
    </row>
    <row r="10" spans="1:5" ht="19.95" customHeight="1" x14ac:dyDescent="0.3">
      <c r="A10" s="2"/>
      <c r="B10" s="2" t="s">
        <v>13</v>
      </c>
      <c r="C10" s="2" t="s">
        <v>71</v>
      </c>
      <c r="D10" s="2" t="s">
        <v>72</v>
      </c>
      <c r="E10" s="2" t="s">
        <v>19</v>
      </c>
    </row>
    <row r="11" spans="1:5" ht="19.95" customHeight="1" x14ac:dyDescent="0.3">
      <c r="A11" s="4"/>
      <c r="B11" s="4" t="s">
        <v>13</v>
      </c>
      <c r="C11" s="4" t="s">
        <v>73</v>
      </c>
      <c r="D11" s="4" t="s">
        <v>15</v>
      </c>
      <c r="E11" s="4" t="s">
        <v>19</v>
      </c>
    </row>
    <row r="12" spans="1:5" ht="19.95" customHeight="1" x14ac:dyDescent="0.3">
      <c r="A12" s="2"/>
      <c r="B12" s="2" t="s">
        <v>13</v>
      </c>
      <c r="C12" s="2" t="s">
        <v>74</v>
      </c>
      <c r="D12" s="2" t="s">
        <v>75</v>
      </c>
      <c r="E12" s="2" t="s">
        <v>19</v>
      </c>
    </row>
    <row r="13" spans="1:5" ht="19.95" customHeight="1" x14ac:dyDescent="0.3">
      <c r="A13" s="4"/>
      <c r="B13" s="4" t="s">
        <v>13</v>
      </c>
      <c r="C13" s="4" t="s">
        <v>76</v>
      </c>
      <c r="D13" s="4" t="s">
        <v>77</v>
      </c>
      <c r="E13" s="4" t="s">
        <v>20</v>
      </c>
    </row>
    <row r="14" spans="1:5" ht="19.95" customHeight="1" x14ac:dyDescent="0.3">
      <c r="A14" s="2"/>
      <c r="B14" s="2" t="s">
        <v>13</v>
      </c>
      <c r="C14" s="2" t="s">
        <v>78</v>
      </c>
      <c r="D14" s="2" t="s">
        <v>79</v>
      </c>
      <c r="E14" s="2" t="s">
        <v>20</v>
      </c>
    </row>
  </sheetData>
  <mergeCells count="2">
    <mergeCell ref="B3:E3"/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5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" customWidth="1"/>
    <col min="2" max="2" width="10" customWidth="1"/>
    <col min="3" max="3" width="20" customWidth="1"/>
    <col min="4" max="4" width="16" customWidth="1"/>
    <col min="5" max="5" width="28" customWidth="1"/>
    <col min="6" max="8" width="10" customWidth="1"/>
    <col min="9" max="9" width="14" customWidth="1"/>
    <col min="10" max="10" width="18" customWidth="1"/>
    <col min="11" max="11" width="20" customWidth="1"/>
  </cols>
  <sheetData>
    <row r="2" spans="1:12" ht="30" customHeight="1" x14ac:dyDescent="0.3">
      <c r="B2" s="19" t="s">
        <v>80</v>
      </c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ht="15" customHeight="1" x14ac:dyDescent="0.3">
      <c r="B3" s="17" t="s">
        <v>81</v>
      </c>
      <c r="C3" s="16"/>
      <c r="D3" s="16"/>
      <c r="E3" s="16"/>
      <c r="F3" s="16"/>
      <c r="G3" s="16"/>
      <c r="H3" s="16"/>
      <c r="I3" s="16"/>
      <c r="J3" s="16"/>
      <c r="K3" s="16"/>
      <c r="L3" s="16"/>
    </row>
    <row r="5" spans="1:12" ht="28.05" customHeight="1" x14ac:dyDescent="0.3">
      <c r="A5" s="7"/>
      <c r="B5" s="7" t="s">
        <v>82</v>
      </c>
      <c r="C5" s="7" t="s">
        <v>83</v>
      </c>
      <c r="D5" s="7" t="s">
        <v>7</v>
      </c>
      <c r="E5" s="7" t="s">
        <v>84</v>
      </c>
      <c r="F5" s="7" t="s">
        <v>85</v>
      </c>
      <c r="G5" s="7" t="s">
        <v>86</v>
      </c>
      <c r="H5" s="7" t="s">
        <v>87</v>
      </c>
      <c r="I5" s="7" t="s">
        <v>88</v>
      </c>
      <c r="J5" s="7" t="s">
        <v>89</v>
      </c>
      <c r="K5" s="7" t="s">
        <v>12</v>
      </c>
    </row>
    <row r="6" spans="1:12" ht="19.95" customHeight="1" x14ac:dyDescent="0.3">
      <c r="A6" s="2"/>
      <c r="B6" s="2" t="s">
        <v>28</v>
      </c>
      <c r="C6" s="2" t="s">
        <v>29</v>
      </c>
      <c r="D6" s="2" t="s">
        <v>32</v>
      </c>
      <c r="E6" s="2" t="s">
        <v>90</v>
      </c>
      <c r="F6" s="2">
        <v>4</v>
      </c>
      <c r="G6" s="2">
        <v>5</v>
      </c>
      <c r="H6" s="5">
        <v>80</v>
      </c>
      <c r="I6" s="2" t="s">
        <v>91</v>
      </c>
      <c r="J6" s="2" t="s">
        <v>26</v>
      </c>
      <c r="K6" s="2"/>
    </row>
    <row r="7" spans="1:12" ht="19.95" customHeight="1" x14ac:dyDescent="0.3">
      <c r="A7" s="4"/>
      <c r="B7" s="4" t="s">
        <v>28</v>
      </c>
      <c r="C7" s="4" t="s">
        <v>29</v>
      </c>
      <c r="D7" s="4" t="s">
        <v>32</v>
      </c>
      <c r="E7" s="4" t="s">
        <v>92</v>
      </c>
      <c r="F7" s="4">
        <v>6</v>
      </c>
      <c r="G7" s="4">
        <v>7</v>
      </c>
      <c r="H7" s="5">
        <v>86</v>
      </c>
      <c r="I7" s="4" t="s">
        <v>91</v>
      </c>
      <c r="J7" s="4" t="s">
        <v>36</v>
      </c>
      <c r="K7" s="4"/>
    </row>
    <row r="8" spans="1:12" ht="19.95" customHeight="1" x14ac:dyDescent="0.3">
      <c r="A8" s="2"/>
      <c r="B8" s="2" t="s">
        <v>33</v>
      </c>
      <c r="C8" s="2" t="s">
        <v>34</v>
      </c>
      <c r="D8" s="2" t="s">
        <v>32</v>
      </c>
      <c r="E8" s="2" t="s">
        <v>90</v>
      </c>
      <c r="F8" s="2">
        <v>3</v>
      </c>
      <c r="G8" s="2">
        <v>5</v>
      </c>
      <c r="H8" s="8">
        <v>60</v>
      </c>
      <c r="I8" s="2" t="s">
        <v>93</v>
      </c>
      <c r="J8" s="2" t="s">
        <v>26</v>
      </c>
      <c r="K8" s="2"/>
    </row>
    <row r="9" spans="1:12" ht="19.95" customHeight="1" x14ac:dyDescent="0.3">
      <c r="A9" s="4"/>
      <c r="B9" s="4" t="s">
        <v>33</v>
      </c>
      <c r="C9" s="4" t="s">
        <v>34</v>
      </c>
      <c r="D9" s="4" t="s">
        <v>32</v>
      </c>
      <c r="E9" s="4" t="s">
        <v>92</v>
      </c>
      <c r="F9" s="4">
        <v>5</v>
      </c>
      <c r="G9" s="4">
        <v>7</v>
      </c>
      <c r="H9" s="5">
        <v>71</v>
      </c>
      <c r="I9" s="4" t="s">
        <v>91</v>
      </c>
      <c r="J9" s="4" t="s">
        <v>36</v>
      </c>
      <c r="K9" s="4"/>
    </row>
    <row r="10" spans="1:12" ht="19.95" customHeight="1" x14ac:dyDescent="0.3">
      <c r="A10" s="2"/>
      <c r="B10" s="2" t="s">
        <v>37</v>
      </c>
      <c r="C10" s="2" t="s">
        <v>38</v>
      </c>
      <c r="D10" s="2" t="s">
        <v>40</v>
      </c>
      <c r="E10" s="2" t="s">
        <v>90</v>
      </c>
      <c r="F10" s="2">
        <v>5</v>
      </c>
      <c r="G10" s="2">
        <v>5</v>
      </c>
      <c r="H10" s="3">
        <v>100</v>
      </c>
      <c r="I10" s="2" t="s">
        <v>94</v>
      </c>
      <c r="J10" s="2" t="s">
        <v>26</v>
      </c>
      <c r="K10" s="2"/>
    </row>
    <row r="11" spans="1:12" ht="19.95" customHeight="1" x14ac:dyDescent="0.3">
      <c r="A11" s="4"/>
      <c r="B11" s="4" t="s">
        <v>41</v>
      </c>
      <c r="C11" s="4" t="s">
        <v>42</v>
      </c>
      <c r="D11" s="4" t="s">
        <v>40</v>
      </c>
      <c r="E11" s="4" t="s">
        <v>90</v>
      </c>
      <c r="F11" s="4">
        <v>2</v>
      </c>
      <c r="G11" s="4">
        <v>5</v>
      </c>
      <c r="H11" s="9">
        <v>40</v>
      </c>
      <c r="I11" s="4" t="s">
        <v>95</v>
      </c>
      <c r="J11" s="4" t="s">
        <v>26</v>
      </c>
      <c r="K11" s="4" t="s">
        <v>96</v>
      </c>
    </row>
    <row r="12" spans="1:12" ht="19.95" customHeight="1" x14ac:dyDescent="0.3">
      <c r="A12" s="2"/>
      <c r="B12" s="2" t="s">
        <v>45</v>
      </c>
      <c r="C12" s="2" t="s">
        <v>46</v>
      </c>
      <c r="D12" s="2" t="s">
        <v>48</v>
      </c>
      <c r="E12" s="2" t="s">
        <v>90</v>
      </c>
      <c r="F12" s="2">
        <v>4</v>
      </c>
      <c r="G12" s="2">
        <v>5</v>
      </c>
      <c r="H12" s="5">
        <v>80</v>
      </c>
      <c r="I12" s="2" t="s">
        <v>91</v>
      </c>
      <c r="J12" s="2" t="s">
        <v>26</v>
      </c>
      <c r="K12" s="2"/>
    </row>
    <row r="13" spans="1:12" ht="19.95" customHeight="1" x14ac:dyDescent="0.3">
      <c r="A13" s="4"/>
      <c r="B13" s="4" t="s">
        <v>28</v>
      </c>
      <c r="C13" s="4" t="s">
        <v>29</v>
      </c>
      <c r="D13" s="4" t="s">
        <v>32</v>
      </c>
      <c r="E13" s="4" t="s">
        <v>97</v>
      </c>
      <c r="F13" s="4">
        <v>3</v>
      </c>
      <c r="G13" s="4">
        <v>3</v>
      </c>
      <c r="H13" s="3">
        <v>100</v>
      </c>
      <c r="I13" s="4" t="s">
        <v>94</v>
      </c>
      <c r="J13" s="4" t="s">
        <v>20</v>
      </c>
      <c r="K13" s="4"/>
    </row>
    <row r="14" spans="1:12" ht="19.9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2" ht="19.9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</sheetData>
  <mergeCells count="2">
    <mergeCell ref="B2:L2"/>
    <mergeCell ref="B3:L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2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" customWidth="1"/>
    <col min="2" max="2" width="10" customWidth="1"/>
    <col min="3" max="3" width="32" customWidth="1"/>
    <col min="4" max="5" width="12" customWidth="1"/>
    <col min="6" max="6" width="18" customWidth="1"/>
    <col min="7" max="7" width="14" customWidth="1"/>
    <col min="8" max="8" width="16" customWidth="1"/>
    <col min="9" max="9" width="12" customWidth="1"/>
  </cols>
  <sheetData>
    <row r="2" spans="1:9" ht="30" customHeight="1" x14ac:dyDescent="0.3">
      <c r="B2" s="20" t="s">
        <v>98</v>
      </c>
      <c r="C2" s="16"/>
      <c r="D2" s="16"/>
      <c r="E2" s="16"/>
      <c r="F2" s="16"/>
      <c r="G2" s="16"/>
      <c r="H2" s="16"/>
      <c r="I2" s="16"/>
    </row>
    <row r="3" spans="1:9" ht="15" customHeight="1" x14ac:dyDescent="0.3">
      <c r="B3" s="17" t="s">
        <v>99</v>
      </c>
      <c r="C3" s="16"/>
      <c r="D3" s="16"/>
      <c r="E3" s="16"/>
      <c r="F3" s="16"/>
      <c r="G3" s="16"/>
      <c r="H3" s="16"/>
      <c r="I3" s="16"/>
    </row>
    <row r="5" spans="1:9" ht="28.05" customHeight="1" x14ac:dyDescent="0.3">
      <c r="A5" s="10"/>
      <c r="B5" s="10" t="s">
        <v>59</v>
      </c>
      <c r="C5" s="10" t="s">
        <v>100</v>
      </c>
      <c r="D5" s="10" t="s">
        <v>101</v>
      </c>
      <c r="E5" s="10" t="s">
        <v>88</v>
      </c>
      <c r="F5" s="10" t="s">
        <v>102</v>
      </c>
      <c r="G5" s="10" t="s">
        <v>8</v>
      </c>
      <c r="H5" s="10" t="s">
        <v>103</v>
      </c>
      <c r="I5" s="10" t="s">
        <v>7</v>
      </c>
    </row>
    <row r="6" spans="1:9" ht="19.95" customHeight="1" x14ac:dyDescent="0.3">
      <c r="A6" s="2"/>
      <c r="B6" s="2" t="s">
        <v>13</v>
      </c>
      <c r="C6" s="2" t="s">
        <v>104</v>
      </c>
      <c r="D6" s="2" t="s">
        <v>105</v>
      </c>
      <c r="E6" s="2" t="s">
        <v>106</v>
      </c>
      <c r="F6" s="2" t="s">
        <v>107</v>
      </c>
      <c r="G6" s="3" t="s">
        <v>108</v>
      </c>
      <c r="H6" s="2" t="s">
        <v>109</v>
      </c>
      <c r="I6" s="2" t="s">
        <v>110</v>
      </c>
    </row>
    <row r="7" spans="1:9" ht="19.95" customHeight="1" x14ac:dyDescent="0.3">
      <c r="A7" s="4"/>
      <c r="B7" s="4" t="s">
        <v>13</v>
      </c>
      <c r="C7" s="4" t="s">
        <v>111</v>
      </c>
      <c r="D7" s="4" t="s">
        <v>112</v>
      </c>
      <c r="E7" s="4" t="s">
        <v>113</v>
      </c>
      <c r="F7" s="4" t="s">
        <v>114</v>
      </c>
      <c r="G7" s="3" t="s">
        <v>108</v>
      </c>
      <c r="H7" s="4" t="s">
        <v>115</v>
      </c>
      <c r="I7" s="4" t="s">
        <v>116</v>
      </c>
    </row>
    <row r="8" spans="1:9" ht="19.95" customHeight="1" x14ac:dyDescent="0.3">
      <c r="A8" s="2"/>
      <c r="B8" s="2" t="s">
        <v>13</v>
      </c>
      <c r="C8" s="2" t="s">
        <v>117</v>
      </c>
      <c r="D8" s="2" t="s">
        <v>118</v>
      </c>
      <c r="E8" s="2" t="s">
        <v>119</v>
      </c>
      <c r="F8" s="2" t="s">
        <v>107</v>
      </c>
      <c r="G8" s="3" t="s">
        <v>108</v>
      </c>
      <c r="H8" s="2" t="s">
        <v>120</v>
      </c>
      <c r="I8" s="2" t="s">
        <v>48</v>
      </c>
    </row>
    <row r="9" spans="1:9" ht="19.95" customHeight="1" x14ac:dyDescent="0.3">
      <c r="A9" s="4"/>
      <c r="B9" s="4" t="s">
        <v>13</v>
      </c>
      <c r="C9" s="4" t="s">
        <v>121</v>
      </c>
      <c r="D9" s="4" t="s">
        <v>105</v>
      </c>
      <c r="E9" s="4" t="s">
        <v>113</v>
      </c>
      <c r="F9" s="4" t="s">
        <v>122</v>
      </c>
      <c r="G9" s="8" t="s">
        <v>123</v>
      </c>
      <c r="H9" s="4" t="s">
        <v>124</v>
      </c>
      <c r="I9" s="4" t="s">
        <v>110</v>
      </c>
    </row>
    <row r="10" spans="1:9" ht="19.95" customHeight="1" x14ac:dyDescent="0.3">
      <c r="A10" s="2"/>
      <c r="B10" s="2" t="s">
        <v>23</v>
      </c>
      <c r="C10" s="2" t="s">
        <v>125</v>
      </c>
      <c r="D10" s="2" t="s">
        <v>105</v>
      </c>
      <c r="E10" s="2" t="s">
        <v>113</v>
      </c>
      <c r="F10" s="2" t="s">
        <v>126</v>
      </c>
      <c r="G10" s="3" t="s">
        <v>108</v>
      </c>
      <c r="H10" s="2" t="s">
        <v>127</v>
      </c>
      <c r="I10" s="2" t="s">
        <v>48</v>
      </c>
    </row>
    <row r="11" spans="1:9" ht="19.95" customHeight="1" x14ac:dyDescent="0.3">
      <c r="A11" s="4"/>
      <c r="B11" s="4"/>
      <c r="C11" s="4"/>
      <c r="D11" s="4"/>
      <c r="E11" s="4"/>
      <c r="F11" s="4"/>
      <c r="G11" s="4"/>
      <c r="H11" s="4"/>
      <c r="I11" s="4"/>
    </row>
    <row r="12" spans="1:9" ht="19.95" customHeight="1" x14ac:dyDescent="0.3">
      <c r="A12" s="2"/>
      <c r="B12" s="2"/>
      <c r="C12" s="2"/>
      <c r="D12" s="2"/>
      <c r="E12" s="2"/>
      <c r="F12" s="2"/>
      <c r="G12" s="2"/>
      <c r="H12" s="2"/>
      <c r="I12" s="2"/>
    </row>
  </sheetData>
  <mergeCells count="2">
    <mergeCell ref="B3:I3"/>
    <mergeCell ref="B2:I2"/>
  </mergeCells>
  <dataValidations count="1">
    <dataValidation type="list" sqref="G6:G500">
      <formula1>"жарияланды,жасырылды,жоба"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2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" customWidth="1"/>
    <col min="2" max="2" width="10" customWidth="1"/>
    <col min="3" max="3" width="20" customWidth="1"/>
    <col min="4" max="4" width="10" customWidth="1"/>
    <col min="5" max="5" width="28" customWidth="1"/>
    <col min="6" max="6" width="8" customWidth="1"/>
    <col min="7" max="7" width="45" customWidth="1"/>
    <col min="8" max="8" width="18" customWidth="1"/>
    <col min="9" max="9" width="45" customWidth="1"/>
    <col min="10" max="10" width="20" customWidth="1"/>
  </cols>
  <sheetData>
    <row r="2" spans="1:10" ht="30" customHeight="1" x14ac:dyDescent="0.3">
      <c r="B2" s="21" t="s">
        <v>128</v>
      </c>
      <c r="C2" s="16"/>
      <c r="D2" s="16"/>
      <c r="E2" s="16"/>
      <c r="F2" s="16"/>
      <c r="G2" s="16"/>
      <c r="H2" s="16"/>
      <c r="I2" s="16"/>
      <c r="J2" s="16"/>
    </row>
    <row r="3" spans="1:10" ht="15" customHeight="1" x14ac:dyDescent="0.3">
      <c r="B3" s="17" t="s">
        <v>129</v>
      </c>
      <c r="C3" s="16"/>
      <c r="D3" s="16"/>
      <c r="E3" s="16"/>
      <c r="F3" s="16"/>
      <c r="G3" s="16"/>
      <c r="H3" s="16"/>
      <c r="I3" s="16"/>
      <c r="J3" s="16"/>
    </row>
    <row r="5" spans="1:10" ht="28.05" customHeight="1" x14ac:dyDescent="0.3">
      <c r="A5" s="1"/>
      <c r="B5" s="1" t="s">
        <v>82</v>
      </c>
      <c r="C5" s="1" t="s">
        <v>83</v>
      </c>
      <c r="D5" s="1" t="s">
        <v>7</v>
      </c>
      <c r="E5" s="1" t="s">
        <v>130</v>
      </c>
      <c r="F5" s="1" t="s">
        <v>131</v>
      </c>
      <c r="G5" s="1" t="s">
        <v>132</v>
      </c>
      <c r="H5" s="1" t="s">
        <v>133</v>
      </c>
      <c r="I5" s="1" t="s">
        <v>134</v>
      </c>
      <c r="J5" s="1" t="s">
        <v>135</v>
      </c>
    </row>
    <row r="6" spans="1:10" ht="19.95" customHeight="1" x14ac:dyDescent="0.3">
      <c r="A6" s="2"/>
      <c r="B6" s="2" t="s">
        <v>28</v>
      </c>
      <c r="C6" s="2" t="s">
        <v>29</v>
      </c>
      <c r="D6" s="2" t="s">
        <v>32</v>
      </c>
      <c r="E6" s="2" t="s">
        <v>104</v>
      </c>
      <c r="F6" s="2">
        <v>5</v>
      </c>
      <c r="G6" s="2" t="s">
        <v>136</v>
      </c>
      <c r="H6" s="2" t="s">
        <v>20</v>
      </c>
      <c r="I6" s="3" t="s">
        <v>137</v>
      </c>
      <c r="J6" s="2" t="s">
        <v>20</v>
      </c>
    </row>
    <row r="7" spans="1:10" ht="19.95" customHeight="1" x14ac:dyDescent="0.3">
      <c r="A7" s="4"/>
      <c r="B7" s="4" t="s">
        <v>33</v>
      </c>
      <c r="C7" s="4" t="s">
        <v>34</v>
      </c>
      <c r="D7" s="4" t="s">
        <v>32</v>
      </c>
      <c r="E7" s="4" t="s">
        <v>104</v>
      </c>
      <c r="F7" s="4">
        <v>4</v>
      </c>
      <c r="G7" s="4" t="s">
        <v>138</v>
      </c>
      <c r="H7" s="4" t="s">
        <v>36</v>
      </c>
      <c r="I7" s="3" t="s">
        <v>139</v>
      </c>
      <c r="J7" s="4" t="s">
        <v>36</v>
      </c>
    </row>
    <row r="8" spans="1:10" ht="19.95" customHeight="1" x14ac:dyDescent="0.3">
      <c r="A8" s="2"/>
      <c r="B8" s="2" t="s">
        <v>37</v>
      </c>
      <c r="C8" s="2" t="s">
        <v>38</v>
      </c>
      <c r="D8" s="2" t="s">
        <v>40</v>
      </c>
      <c r="E8" s="2" t="s">
        <v>92</v>
      </c>
      <c r="F8" s="2">
        <v>5</v>
      </c>
      <c r="G8" s="2" t="s">
        <v>140</v>
      </c>
      <c r="H8" s="2" t="s">
        <v>36</v>
      </c>
      <c r="I8" s="8"/>
      <c r="J8" s="2"/>
    </row>
    <row r="9" spans="1:10" ht="19.95" customHeight="1" x14ac:dyDescent="0.3">
      <c r="A9" s="4"/>
      <c r="B9" s="4" t="s">
        <v>41</v>
      </c>
      <c r="C9" s="4" t="s">
        <v>42</v>
      </c>
      <c r="D9" s="4" t="s">
        <v>40</v>
      </c>
      <c r="E9" s="4" t="s">
        <v>104</v>
      </c>
      <c r="F9" s="4">
        <v>3</v>
      </c>
      <c r="G9" s="4" t="s">
        <v>141</v>
      </c>
      <c r="H9" s="4" t="s">
        <v>26</v>
      </c>
      <c r="I9" s="3" t="s">
        <v>142</v>
      </c>
      <c r="J9" s="4" t="s">
        <v>26</v>
      </c>
    </row>
    <row r="10" spans="1:10" ht="19.95" customHeight="1" x14ac:dyDescent="0.3">
      <c r="A10" s="2"/>
      <c r="B10" s="2" t="s">
        <v>45</v>
      </c>
      <c r="C10" s="2" t="s">
        <v>46</v>
      </c>
      <c r="D10" s="2" t="s">
        <v>48</v>
      </c>
      <c r="E10" s="2" t="s">
        <v>111</v>
      </c>
      <c r="F10" s="2">
        <v>5</v>
      </c>
      <c r="G10" s="2" t="s">
        <v>143</v>
      </c>
      <c r="H10" s="2" t="s">
        <v>26</v>
      </c>
      <c r="I10" s="8"/>
      <c r="J10" s="2"/>
    </row>
    <row r="11" spans="1:10" ht="19.95" customHeight="1" x14ac:dyDescent="0.3">
      <c r="A11" s="4"/>
      <c r="B11" s="4"/>
      <c r="C11" s="4"/>
      <c r="D11" s="4"/>
      <c r="E11" s="4"/>
      <c r="F11" s="4"/>
      <c r="G11" s="4"/>
      <c r="H11" s="4"/>
      <c r="I11" s="8"/>
      <c r="J11" s="4"/>
    </row>
    <row r="12" spans="1:10" ht="19.95" customHeight="1" x14ac:dyDescent="0.3">
      <c r="A12" s="2"/>
      <c r="B12" s="2"/>
      <c r="C12" s="2"/>
      <c r="D12" s="2"/>
      <c r="E12" s="2"/>
      <c r="F12" s="2"/>
      <c r="G12" s="2"/>
      <c r="H12" s="2"/>
      <c r="I12" s="8"/>
      <c r="J12" s="2"/>
    </row>
  </sheetData>
  <mergeCells count="2">
    <mergeCell ref="B3:J3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"/>
  <sheetViews>
    <sheetView showGridLines="0" workbookViewId="0"/>
  </sheetViews>
  <sheetFormatPr defaultRowHeight="14.4" x14ac:dyDescent="0.3"/>
  <cols>
    <col min="1" max="1" width="3" customWidth="1"/>
    <col min="2" max="2" width="32" customWidth="1"/>
    <col min="3" max="4" width="20" customWidth="1"/>
  </cols>
  <sheetData>
    <row r="2" spans="1:4" ht="30" customHeight="1" x14ac:dyDescent="0.3">
      <c r="B2" s="15" t="s">
        <v>144</v>
      </c>
      <c r="C2" s="16"/>
      <c r="D2" s="16"/>
    </row>
    <row r="4" spans="1:4" ht="28.05" customHeight="1" x14ac:dyDescent="0.3">
      <c r="A4" s="1"/>
      <c r="B4" s="1" t="s">
        <v>145</v>
      </c>
      <c r="C4" s="1" t="s">
        <v>146</v>
      </c>
      <c r="D4" s="1" t="s">
        <v>147</v>
      </c>
    </row>
    <row r="5" spans="1:4" ht="22.05" customHeight="1" x14ac:dyDescent="0.3">
      <c r="B5" s="11" t="s">
        <v>148</v>
      </c>
      <c r="C5" s="12">
        <f>COUNTA('👤 Пайдаланушылар'!C6:C500)</f>
        <v>8</v>
      </c>
      <c r="D5" s="13" t="s">
        <v>149</v>
      </c>
    </row>
    <row r="6" spans="1:4" ht="22.05" customHeight="1" x14ac:dyDescent="0.3">
      <c r="B6" s="11" t="s">
        <v>150</v>
      </c>
      <c r="C6" s="12">
        <f>COUNTIF('👤 Пайдаланушылар'!F6:F500,"мұғалім")</f>
        <v>3</v>
      </c>
      <c r="D6" s="13" t="s">
        <v>149</v>
      </c>
    </row>
    <row r="7" spans="1:4" ht="22.05" customHeight="1" x14ac:dyDescent="0.3">
      <c r="B7" s="11" t="s">
        <v>151</v>
      </c>
      <c r="C7" s="12">
        <f>COUNTIF('👤 Пайдаланушылар'!F6:F500,"оқушы")</f>
        <v>7</v>
      </c>
      <c r="D7" s="13" t="s">
        <v>149</v>
      </c>
    </row>
    <row r="8" spans="1:4" ht="22.05" customHeight="1" x14ac:dyDescent="0.3">
      <c r="B8" s="11" t="s">
        <v>152</v>
      </c>
      <c r="C8" s="12">
        <f>COUNTA('📊 Оқушы нәтижелері'!E6:E500)</f>
        <v>8</v>
      </c>
      <c r="D8" s="13" t="s">
        <v>153</v>
      </c>
    </row>
    <row r="9" spans="1:4" ht="22.05" customHeight="1" x14ac:dyDescent="0.3">
      <c r="B9" s="11" t="s">
        <v>154</v>
      </c>
      <c r="C9" s="14">
        <f>IFERROR(AVERAGE('📊 Оқушы нәтижелері'!H6:H500),0)</f>
        <v>77.125</v>
      </c>
      <c r="D9" s="13" t="s">
        <v>153</v>
      </c>
    </row>
    <row r="10" spans="1:4" ht="22.05" customHeight="1" x14ac:dyDescent="0.3">
      <c r="B10" s="11" t="s">
        <v>155</v>
      </c>
      <c r="C10" s="12">
        <f>COUNTIF('📚 Сабақ тізімі'!G6:G500,"жарияланды")</f>
        <v>4</v>
      </c>
      <c r="D10" s="13" t="s">
        <v>156</v>
      </c>
    </row>
    <row r="11" spans="1:4" ht="22.05" customHeight="1" x14ac:dyDescent="0.3">
      <c r="B11" s="11" t="s">
        <v>157</v>
      </c>
      <c r="C11" s="12">
        <f>COUNTA('💬 Пікірлер'!G6:G500)</f>
        <v>5</v>
      </c>
      <c r="D11" s="13" t="s">
        <v>158</v>
      </c>
    </row>
    <row r="12" spans="1:4" ht="22.05" customHeight="1" x14ac:dyDescent="0.3">
      <c r="B12" s="11" t="s">
        <v>159</v>
      </c>
      <c r="C12" s="12">
        <f>COUNTA('💬 Пікірлер'!I6:I500)</f>
        <v>3</v>
      </c>
      <c r="D12" s="13" t="s">
        <v>158</v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👤 Пайдаланушылар</vt:lpstr>
      <vt:lpstr>🎓 Мұғалім профилі</vt:lpstr>
      <vt:lpstr>📊 Оқушы нәтижелері</vt:lpstr>
      <vt:lpstr>📚 Сабақ тізімі</vt:lpstr>
      <vt:lpstr>💬 Пікірлер</vt:lpstr>
      <vt:lpstr>📈 Статистика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Nurtileu</cp:lastModifiedBy>
  <dcterms:created xsi:type="dcterms:W3CDTF">2026-05-12T17:42:35Z</dcterms:created>
  <dcterms:modified xsi:type="dcterms:W3CDTF">2026-05-12T18:15:07Z</dcterms:modified>
</cp:coreProperties>
</file>