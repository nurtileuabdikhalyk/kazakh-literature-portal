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urtileu\Downloads\"/>
    </mc:Choice>
  </mc:AlternateContent>
  <bookViews>
    <workbookView xWindow="0" yWindow="0" windowWidth="23040" windowHeight="8808"/>
  </bookViews>
  <sheets>
    <sheet name="📝 Тест" sheetId="1" r:id="rId1"/>
    <sheet name="✅ Дурыс-Бурыс" sheetId="2" r:id="rId2"/>
    <sheet name="✍️ Бос орын" sheetId="3" r:id="rId3"/>
    <sheet name="🔗 Сәйкестендіру" sheetId="4" r:id="rId4"/>
    <sheet name="📊 Нәтиже" sheetId="5" r:id="rId5"/>
  </sheets>
  <calcPr calcId="152511"/>
</workbook>
</file>

<file path=xl/calcChain.xml><?xml version="1.0" encoding="utf-8"?>
<calcChain xmlns="http://schemas.openxmlformats.org/spreadsheetml/2006/main">
  <c r="D8" i="5" l="1"/>
  <c r="F8" i="5" s="1"/>
  <c r="C8" i="5"/>
  <c r="E8" i="5" s="1"/>
  <c r="F7" i="5"/>
  <c r="D7" i="5"/>
  <c r="C7" i="5"/>
  <c r="E7" i="5" s="1"/>
  <c r="D6" i="5"/>
  <c r="F6" i="5" s="1"/>
  <c r="C6" i="5"/>
  <c r="E6" i="5" s="1"/>
  <c r="D5" i="5"/>
  <c r="C5" i="5"/>
  <c r="E5" i="5" s="1"/>
  <c r="E9" i="5" s="1"/>
  <c r="F5" i="5" l="1"/>
  <c r="C9" i="5"/>
  <c r="D9" i="5"/>
  <c r="F9" i="5" l="1"/>
</calcChain>
</file>

<file path=xl/sharedStrings.xml><?xml version="1.0" encoding="utf-8"?>
<sst xmlns="http://schemas.openxmlformats.org/spreadsheetml/2006/main" count="241" uniqueCount="150">
  <si>
    <t>Дұрыс жауап бағанына нұсқа нөмірін жазыңыз: 1, 2, 3 немесе 4  |  Деңгей: Оңай / Орташа / Қиын</t>
  </si>
  <si>
    <t>№</t>
  </si>
  <si>
    <t>Сұрақ мәтіні</t>
  </si>
  <si>
    <t>Нұсқа A</t>
  </si>
  <si>
    <t>Нұсқа B</t>
  </si>
  <si>
    <t>Нұсқа C</t>
  </si>
  <si>
    <t>Нұсқа D</t>
  </si>
  <si>
    <t>Жауап</t>
  </si>
  <si>
    <t>Тақырып</t>
  </si>
  <si>
    <t>Деңгей</t>
  </si>
  <si>
    <t>Түсіндірме</t>
  </si>
  <si>
    <t>Абай Құнанбайұлы қай жылы дүниеге келді?</t>
  </si>
  <si>
    <t>1840</t>
  </si>
  <si>
    <t>1845</t>
  </si>
  <si>
    <t>1850</t>
  </si>
  <si>
    <t>1835</t>
  </si>
  <si>
    <t>Классика</t>
  </si>
  <si>
    <t>Оңай</t>
  </si>
  <si>
    <t>Абай 1845 жылы 10 тамызда дүниеге келді.</t>
  </si>
  <si>
    <t>«Абай жолы» эпопеясының авторы кім?</t>
  </si>
  <si>
    <t>Ілияс Есенберлин</t>
  </si>
  <si>
    <t>Мұхтар Әуезов</t>
  </si>
  <si>
    <t>Ғабит Мүсірепов</t>
  </si>
  <si>
    <t>Сәбит Мұқанов</t>
  </si>
  <si>
    <t>Мұхтар Омарханұлы Әуезов жазды.</t>
  </si>
  <si>
    <t>Абайдың «Қарасөздері» неше сөзден тұрады?</t>
  </si>
  <si>
    <t>24</t>
  </si>
  <si>
    <t>30</t>
  </si>
  <si>
    <t>38</t>
  </si>
  <si>
    <t>45</t>
  </si>
  <si>
    <t>Орташа</t>
  </si>
  <si>
    <t>Отыз сегіз (38) философиялық толғау.</t>
  </si>
  <si>
    <t>Мұқағали Мақатаев қай жылы дүниеден өтті?</t>
  </si>
  <si>
    <t>1972</t>
  </si>
  <si>
    <t>1974</t>
  </si>
  <si>
    <t>1976</t>
  </si>
  <si>
    <t>1980</t>
  </si>
  <si>
    <t>Поэзия</t>
  </si>
  <si>
    <t>1976 жылы 23 наурызда.</t>
  </si>
  <si>
    <t>«Көшпенділер» трилогиясының авторы кім?</t>
  </si>
  <si>
    <t>Ілияс Есенберлин жазды (1969–1976).</t>
  </si>
  <si>
    <t>Лирикалық кейіпкер деген не?</t>
  </si>
  <si>
    <t>Романдағы негізгі кейіпкер</t>
  </si>
  <si>
    <t>Ақынның поэтикалық «мен» образы</t>
  </si>
  <si>
    <t>Дастандағы батыр</t>
  </si>
  <si>
    <t>Сатиралық тип</t>
  </si>
  <si>
    <t>Теория</t>
  </si>
  <si>
    <t>Қиын</t>
  </si>
  <si>
    <t>Поэзиядағы жалпыланған «мен» образы.</t>
  </si>
  <si>
    <t>Фариза Оңғарсынова қай жанрда жазды?</t>
  </si>
  <si>
    <t>Проза</t>
  </si>
  <si>
    <t>Драматургия</t>
  </si>
  <si>
    <t>Аударма</t>
  </si>
  <si>
    <t>Фариза — қазақ лирикасының ұлы ақыны.</t>
  </si>
  <si>
    <t>Абай орыс тілінен кімнің өлеңдерін аударды?</t>
  </si>
  <si>
    <t>Пушкин</t>
  </si>
  <si>
    <t>Гёте</t>
  </si>
  <si>
    <t>Крылов</t>
  </si>
  <si>
    <t>Барлығы</t>
  </si>
  <si>
    <t>Абай Пушкин, Крылов, Гёте шығармаларын аударды.</t>
  </si>
  <si>
    <t>✅ ДҰРЫС / БҰРЫС ТАПСЫРМАЛАРЫ</t>
  </si>
  <si>
    <t>«Жауап» бағанына  TRUE  немесе  FALSE  деп жазыңыз</t>
  </si>
  <si>
    <t>Тұжырым мәтіні</t>
  </si>
  <si>
    <t>Мұқағали Мақатаев 1976 жылы дүниеден өтті.</t>
  </si>
  <si>
    <t>Иә, 23 наурыз 1976 жыл.</t>
  </si>
  <si>
    <t>«Көшпенділер» трилогиясын Мұхтар Әуезов жазды.</t>
  </si>
  <si>
    <t>Жоқ, Ілияс Есенберлин жазды.</t>
  </si>
  <si>
    <t>Абайдың толық аты — Ибраһим Құнанбайұлы.</t>
  </si>
  <si>
    <t>«Абай» лақап ат, нақты аты Ибраһим.</t>
  </si>
  <si>
    <t>Фариза Оңғарсынова — қазақ прозасының өкілі.</t>
  </si>
  <si>
    <t>Жоқ, ол поэзия өкілі.</t>
  </si>
  <si>
    <t>Абайдың «Қарасөздері» 38 сөзден тұрады.</t>
  </si>
  <si>
    <t>Иә, отыз сегіз философиялық толғау.</t>
  </si>
  <si>
    <t>«Абай жолы» — детектив жанрына жатады.</t>
  </si>
  <si>
    <t>Жоқ, ол роман-эпопея жанры.</t>
  </si>
  <si>
    <t>Абай 1845 жылы дүниеге келді.</t>
  </si>
  <si>
    <t>Иә, 10 тамыз 1845 жыл.</t>
  </si>
  <si>
    <t>✍️ БОС ОРЫНДЫ ТОЛТЫРУ ТАПСЫРМАЛАРЫ</t>
  </si>
  <si>
    <t>Бос орынды ___ деп белгілеңіз. Дұрыс жауаптарды үтірмен: қалғып, далбаса</t>
  </si>
  <si>
    <t>Мәтін  (бос орын = ___)</t>
  </si>
  <si>
    <t>Дұрыс жауаптар  (үтірмен)</t>
  </si>
  <si>
    <t>«Қараңғы түнде тау ___, / Ұйқыға кетер ___»</t>
  </si>
  <si>
    <t>қалғып, далбаса</t>
  </si>
  <si>
    <t>Абайдың атақты өлеңінің басы.</t>
  </si>
  <si>
    <t>«Өмір — ___, ағады да ___»</t>
  </si>
  <si>
    <t>өзен, кетеді</t>
  </si>
  <si>
    <t>Мұқағали Мақатаев.</t>
  </si>
  <si>
    <t>Абай ___ жылы дүниеге келді.</t>
  </si>
  <si>
    <t>1845 жылы 10 тамызда.</t>
  </si>
  <si>
    <t>«Абай жолы» — ___ романы.</t>
  </si>
  <si>
    <t>эпопея</t>
  </si>
  <si>
    <t>Жанры — роман-эпопея.</t>
  </si>
  <si>
    <t>Мұқағали Мақатаев ___ жасында дүниеден өтті.</t>
  </si>
  <si>
    <t>1931–1976, яғни 45 жаста.</t>
  </si>
  <si>
    <t>Абайдың «Қарасөздері» ___ сөзден тұрады.</t>
  </si>
  <si>
    <t>Отыз сегіз философиялық толғау.</t>
  </si>
  <si>
    <t>«Алтын күн аспаны, алқып соққан жел ___»</t>
  </si>
  <si>
    <t>даласы</t>
  </si>
  <si>
    <t>Жыр</t>
  </si>
  <si>
    <t>«Менің Қазақстаным» жырының жолы.</t>
  </si>
  <si>
    <t>🔗 СӘЙКЕСТЕНДІРУ ТАПСЫРМАЛАРЫ</t>
  </si>
  <si>
    <t>Топ № — бірдей болуы тиіс. Бір топ = бір тапсырма. Жұп саны кемінде 3.</t>
  </si>
  <si>
    <t>Топ №</t>
  </si>
  <si>
    <t>Тапсырма атауы</t>
  </si>
  <si>
    <t>Сол баған</t>
  </si>
  <si>
    <t>Оң баған</t>
  </si>
  <si>
    <t>Автор — Шығарма</t>
  </si>
  <si>
    <t>Абай жолы</t>
  </si>
  <si>
    <t>Мұхтар Әуезовтің роман-эпопеясы.</t>
  </si>
  <si>
    <t>Көшпенділер</t>
  </si>
  <si>
    <t>Тарихи трилогия.</t>
  </si>
  <si>
    <t>Оянған өлке</t>
  </si>
  <si>
    <t>Кеңес дәуіріндегі роман.</t>
  </si>
  <si>
    <t>Өмір мектебі</t>
  </si>
  <si>
    <t>Трилогия.</t>
  </si>
  <si>
    <t>Ақын — Жыр жолы</t>
  </si>
  <si>
    <t>Абай</t>
  </si>
  <si>
    <t>«Қараңғы түнде тау қалғып»</t>
  </si>
  <si>
    <t>Абайдың атақты өлеңі.</t>
  </si>
  <si>
    <t>Мұқағали</t>
  </si>
  <si>
    <t>«Өмір — өзен, ағады да кетеді»</t>
  </si>
  <si>
    <t>Мұқағали лирикасы.</t>
  </si>
  <si>
    <t>Фариза</t>
  </si>
  <si>
    <t>«Ана туралы жыр»</t>
  </si>
  <si>
    <t>Фариза өлеңі.</t>
  </si>
  <si>
    <t>Қадыр</t>
  </si>
  <si>
    <t>«Өлмейді ақын»</t>
  </si>
  <si>
    <t>Қадыр Мырза Әли.</t>
  </si>
  <si>
    <t>Жанр — Анықтама</t>
  </si>
  <si>
    <t>Роман-эпопея</t>
  </si>
  <si>
    <t>Бірнеше томды эпикалық шығарма</t>
  </si>
  <si>
    <t>Мысалы: «Абай жолы».</t>
  </si>
  <si>
    <t>Лирика</t>
  </si>
  <si>
    <t>Ақынның сезімін жеткізетін поэзия</t>
  </si>
  <si>
    <t>Мысалы: Мұқағали өлеңдері.</t>
  </si>
  <si>
    <t>Эпос</t>
  </si>
  <si>
    <t>Батырлардың ерліктері туралы жыр</t>
  </si>
  <si>
    <t>Мысалы: «Қобыланды батыр».</t>
  </si>
  <si>
    <t>📊 ЖИЫНТЫҚ СТАТИСТИКА</t>
  </si>
  <si>
    <t>Тапсырма беті</t>
  </si>
  <si>
    <t>Жалпы сұрақ</t>
  </si>
  <si>
    <t>Толтырылды</t>
  </si>
  <si>
    <t>Бос</t>
  </si>
  <si>
    <t>Пайыз</t>
  </si>
  <si>
    <t>📝 MCQ Тест</t>
  </si>
  <si>
    <t>✅ Дурыс-Бурыс</t>
  </si>
  <si>
    <t>✍️ Бос орын</t>
  </si>
  <si>
    <t>🔗 Сәйкестендіру</t>
  </si>
  <si>
    <t>БАРЛЫҒЫ</t>
  </si>
  <si>
    <t>📝 ТЕСТ СҰРАҚТАРЫ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</si>
</sst>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9A8A72"/>
      <name val="Arial"/>
    </font>
    <font>
      <b/>
      <sz val="9"/>
      <color rgb="FFFFFFFF"/>
      <name val="Arial"/>
    </font>
    <font>
      <sz val="9"/>
      <color rgb="FF1A1208"/>
      <name val="Arial"/>
    </font>
    <font>
      <b/>
      <sz val="9"/>
      <color rgb="FF8B3A1E"/>
      <name val="Arial"/>
    </font>
    <font>
      <b/>
      <sz val="9"/>
      <color rgb="FF3A5C3A"/>
      <name val="Arial"/>
    </font>
    <font>
      <b/>
      <sz val="11"/>
      <color rgb="FFC4922A"/>
      <name val="Arial"/>
    </font>
    <font>
      <b/>
      <sz val="9"/>
      <color rgb="FF1A1208"/>
      <name val="Arial"/>
    </font>
    <font>
      <b/>
      <sz val="10"/>
      <color rgb="FFFFFFFF"/>
      <name val="Arial"/>
    </font>
  </fonts>
  <fills count="16">
    <fill>
      <patternFill patternType="none"/>
    </fill>
    <fill>
      <patternFill patternType="gray125"/>
    </fill>
    <fill>
      <patternFill patternType="solid">
        <fgColor rgb="FF1A1208"/>
      </patternFill>
    </fill>
    <fill>
      <patternFill patternType="solid">
        <fgColor rgb="FFFAF6EF"/>
      </patternFill>
    </fill>
    <fill>
      <patternFill patternType="solid">
        <fgColor rgb="FFC4922A"/>
      </patternFill>
    </fill>
    <fill>
      <patternFill patternType="solid">
        <fgColor rgb="FFFDF3E0"/>
      </patternFill>
    </fill>
    <fill>
      <patternFill patternType="solid">
        <fgColor rgb="FFFDF8F0"/>
      </patternFill>
    </fill>
    <fill>
      <patternFill patternType="solid">
        <fgColor rgb="FFFFFFFF"/>
      </patternFill>
    </fill>
    <fill>
      <patternFill patternType="solid">
        <fgColor rgb="FF3A5C3A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8B3A1E"/>
      </patternFill>
    </fill>
    <fill>
      <patternFill patternType="solid">
        <fgColor rgb="FFFFF8E1"/>
      </patternFill>
    </fill>
    <fill>
      <patternFill patternType="solid">
        <fgColor rgb="FF2A3A5C"/>
      </patternFill>
    </fill>
    <fill>
      <patternFill patternType="solid">
        <fgColor rgb="FFFFF3E0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rgb="FFD9CDB8"/>
      </left>
      <right style="thin">
        <color rgb="FFD9CDB8"/>
      </right>
      <top style="thin">
        <color rgb="FFD9CDB8"/>
      </top>
      <bottom style="thin">
        <color rgb="FFD9CDB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9" fontId="0" fillId="7" borderId="1" xfId="0" applyNumberForma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9" fontId="0" fillId="6" borderId="1" xfId="0" applyNumberForma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9" fontId="9" fillId="4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3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E12" sqref="E12"/>
    </sheetView>
  </sheetViews>
  <sheetFormatPr defaultRowHeight="14.4" x14ac:dyDescent="0.3"/>
  <cols>
    <col min="1" max="1" width="3" customWidth="1"/>
    <col min="2" max="2" width="5" customWidth="1"/>
    <col min="3" max="3" width="42" customWidth="1"/>
    <col min="4" max="7" width="26" customWidth="1"/>
    <col min="8" max="8" width="8" customWidth="1"/>
    <col min="9" max="9" width="20" customWidth="1"/>
    <col min="10" max="10" width="16" customWidth="1"/>
    <col min="11" max="11" width="30" customWidth="1"/>
  </cols>
  <sheetData>
    <row r="2" spans="1:11" ht="31.95" customHeight="1" x14ac:dyDescent="0.3">
      <c r="B2" s="27" t="s">
        <v>149</v>
      </c>
      <c r="C2" s="26"/>
      <c r="D2" s="26"/>
      <c r="E2" s="26"/>
      <c r="F2" s="26"/>
      <c r="G2" s="26"/>
      <c r="H2" s="26"/>
      <c r="I2" s="26"/>
      <c r="J2" s="26"/>
      <c r="K2" s="26"/>
    </row>
    <row r="3" spans="1:11" ht="16.05" customHeight="1" x14ac:dyDescent="0.3">
      <c r="B3" s="25" t="s">
        <v>0</v>
      </c>
      <c r="C3" s="26"/>
      <c r="D3" s="26"/>
      <c r="E3" s="26"/>
      <c r="F3" s="26"/>
      <c r="G3" s="26"/>
      <c r="H3" s="26"/>
      <c r="I3" s="26"/>
      <c r="J3" s="26"/>
      <c r="K3" s="26"/>
    </row>
    <row r="5" spans="1:11" ht="30" customHeight="1" x14ac:dyDescent="0.3">
      <c r="A5" s="1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19.95" customHeight="1" x14ac:dyDescent="0.3">
      <c r="A6" s="2"/>
      <c r="B6" s="2">
        <v>1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3">
        <v>2</v>
      </c>
      <c r="I6" s="2" t="s">
        <v>16</v>
      </c>
      <c r="J6" s="2" t="s">
        <v>17</v>
      </c>
      <c r="K6" s="2" t="s">
        <v>18</v>
      </c>
    </row>
    <row r="7" spans="1:11" ht="19.95" customHeight="1" x14ac:dyDescent="0.3">
      <c r="A7" s="4"/>
      <c r="B7" s="4">
        <v>2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3">
        <v>2</v>
      </c>
      <c r="I7" s="4" t="s">
        <v>16</v>
      </c>
      <c r="J7" s="4" t="s">
        <v>17</v>
      </c>
      <c r="K7" s="4" t="s">
        <v>24</v>
      </c>
    </row>
    <row r="8" spans="1:11" ht="19.95" customHeight="1" x14ac:dyDescent="0.3">
      <c r="A8" s="2"/>
      <c r="B8" s="2">
        <v>3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3">
        <v>3</v>
      </c>
      <c r="I8" s="2" t="s">
        <v>16</v>
      </c>
      <c r="J8" s="2" t="s">
        <v>30</v>
      </c>
      <c r="K8" s="2" t="s">
        <v>31</v>
      </c>
    </row>
    <row r="9" spans="1:11" ht="19.95" customHeight="1" x14ac:dyDescent="0.3">
      <c r="A9" s="4"/>
      <c r="B9" s="4">
        <v>4</v>
      </c>
      <c r="C9" s="4" t="s">
        <v>32</v>
      </c>
      <c r="D9" s="4" t="s">
        <v>33</v>
      </c>
      <c r="E9" s="4" t="s">
        <v>34</v>
      </c>
      <c r="F9" s="4" t="s">
        <v>35</v>
      </c>
      <c r="G9" s="4" t="s">
        <v>36</v>
      </c>
      <c r="H9" s="3">
        <v>3</v>
      </c>
      <c r="I9" s="4" t="s">
        <v>37</v>
      </c>
      <c r="J9" s="4" t="s">
        <v>17</v>
      </c>
      <c r="K9" s="4" t="s">
        <v>38</v>
      </c>
    </row>
    <row r="10" spans="1:11" ht="19.95" customHeight="1" x14ac:dyDescent="0.3">
      <c r="A10" s="2"/>
      <c r="B10" s="2">
        <v>5</v>
      </c>
      <c r="C10" s="2" t="s">
        <v>39</v>
      </c>
      <c r="D10" s="2" t="s">
        <v>21</v>
      </c>
      <c r="E10" s="2" t="s">
        <v>22</v>
      </c>
      <c r="F10" s="2" t="s">
        <v>20</v>
      </c>
      <c r="G10" s="2" t="s">
        <v>23</v>
      </c>
      <c r="H10" s="3">
        <v>3</v>
      </c>
      <c r="I10" s="2" t="s">
        <v>16</v>
      </c>
      <c r="J10" s="2" t="s">
        <v>30</v>
      </c>
      <c r="K10" s="2" t="s">
        <v>40</v>
      </c>
    </row>
    <row r="11" spans="1:11" ht="19.95" customHeight="1" x14ac:dyDescent="0.3">
      <c r="A11" s="4"/>
      <c r="B11" s="4">
        <v>6</v>
      </c>
      <c r="C11" s="4" t="s">
        <v>41</v>
      </c>
      <c r="D11" s="4" t="s">
        <v>42</v>
      </c>
      <c r="E11" s="4" t="s">
        <v>43</v>
      </c>
      <c r="F11" s="4" t="s">
        <v>44</v>
      </c>
      <c r="G11" s="4" t="s">
        <v>45</v>
      </c>
      <c r="H11" s="3">
        <v>2</v>
      </c>
      <c r="I11" s="4" t="s">
        <v>46</v>
      </c>
      <c r="J11" s="4" t="s">
        <v>47</v>
      </c>
      <c r="K11" s="4" t="s">
        <v>48</v>
      </c>
    </row>
    <row r="12" spans="1:11" ht="19.95" customHeight="1" x14ac:dyDescent="0.3">
      <c r="A12" s="2"/>
      <c r="B12" s="2">
        <v>7</v>
      </c>
      <c r="C12" s="2" t="s">
        <v>49</v>
      </c>
      <c r="D12" s="2" t="s">
        <v>50</v>
      </c>
      <c r="E12" s="2" t="s">
        <v>37</v>
      </c>
      <c r="F12" s="2" t="s">
        <v>51</v>
      </c>
      <c r="G12" s="2" t="s">
        <v>52</v>
      </c>
      <c r="H12" s="3">
        <v>2</v>
      </c>
      <c r="I12" s="2" t="s">
        <v>37</v>
      </c>
      <c r="J12" s="2" t="s">
        <v>17</v>
      </c>
      <c r="K12" s="2" t="s">
        <v>53</v>
      </c>
    </row>
    <row r="13" spans="1:11" ht="19.95" customHeight="1" x14ac:dyDescent="0.3">
      <c r="A13" s="4"/>
      <c r="B13" s="4">
        <v>8</v>
      </c>
      <c r="C13" s="4" t="s">
        <v>54</v>
      </c>
      <c r="D13" s="4" t="s">
        <v>55</v>
      </c>
      <c r="E13" s="4" t="s">
        <v>56</v>
      </c>
      <c r="F13" s="4" t="s">
        <v>57</v>
      </c>
      <c r="G13" s="4" t="s">
        <v>58</v>
      </c>
      <c r="H13" s="3">
        <v>4</v>
      </c>
      <c r="I13" s="4" t="s">
        <v>16</v>
      </c>
      <c r="J13" s="4" t="s">
        <v>30</v>
      </c>
      <c r="K13" s="4" t="s">
        <v>59</v>
      </c>
    </row>
  </sheetData>
  <mergeCells count="2">
    <mergeCell ref="B3:K3"/>
    <mergeCell ref="B2:K2"/>
  </mergeCells>
  <dataValidations disablePrompts="1" count="2">
    <dataValidation type="whole" showErrorMessage="1" errorTitle="Қате" error="1-ден 4-ке дейін сан енгізіңіз" sqref="H6:H499">
      <formula1>1</formula1>
      <formula2>4</formula2>
    </dataValidation>
    <dataValidation type="list" sqref="J6:J499">
      <formula1>"Оңай,Орташа,Қиын"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D18" sqref="D18"/>
    </sheetView>
  </sheetViews>
  <sheetFormatPr defaultRowHeight="14.4" x14ac:dyDescent="0.3"/>
  <cols>
    <col min="1" max="1" width="3" customWidth="1"/>
    <col min="2" max="2" width="5" customWidth="1"/>
    <col min="3" max="3" width="58" customWidth="1"/>
    <col min="4" max="4" width="10" customWidth="1"/>
    <col min="5" max="5" width="20" customWidth="1"/>
    <col min="6" max="6" width="16" customWidth="1"/>
    <col min="7" max="7" width="36" customWidth="1"/>
  </cols>
  <sheetData>
    <row r="2" spans="1:7" ht="31.95" customHeight="1" x14ac:dyDescent="0.3">
      <c r="B2" s="28" t="s">
        <v>60</v>
      </c>
      <c r="C2" s="26"/>
      <c r="D2" s="26"/>
      <c r="E2" s="26"/>
      <c r="F2" s="26"/>
      <c r="G2" s="26"/>
    </row>
    <row r="3" spans="1:7" ht="16.05" customHeight="1" x14ac:dyDescent="0.3">
      <c r="B3" s="25" t="s">
        <v>61</v>
      </c>
      <c r="C3" s="26"/>
      <c r="D3" s="26"/>
      <c r="E3" s="26"/>
      <c r="F3" s="26"/>
      <c r="G3" s="26"/>
    </row>
    <row r="5" spans="1:7" ht="30" customHeight="1" x14ac:dyDescent="0.3">
      <c r="A5" s="5"/>
      <c r="B5" s="5" t="s">
        <v>1</v>
      </c>
      <c r="C5" s="5" t="s">
        <v>62</v>
      </c>
      <c r="D5" s="5" t="s">
        <v>7</v>
      </c>
      <c r="E5" s="5" t="s">
        <v>8</v>
      </c>
      <c r="F5" s="5" t="s">
        <v>9</v>
      </c>
      <c r="G5" s="5" t="s">
        <v>10</v>
      </c>
    </row>
    <row r="6" spans="1:7" ht="19.95" customHeight="1" x14ac:dyDescent="0.3">
      <c r="A6" s="2"/>
      <c r="B6" s="2">
        <v>1</v>
      </c>
      <c r="C6" s="2" t="s">
        <v>63</v>
      </c>
      <c r="D6" s="6" t="b">
        <v>1</v>
      </c>
      <c r="E6" s="2" t="s">
        <v>37</v>
      </c>
      <c r="F6" s="2" t="s">
        <v>17</v>
      </c>
      <c r="G6" s="2" t="s">
        <v>64</v>
      </c>
    </row>
    <row r="7" spans="1:7" ht="19.95" customHeight="1" x14ac:dyDescent="0.3">
      <c r="A7" s="4"/>
      <c r="B7" s="4">
        <v>2</v>
      </c>
      <c r="C7" s="4" t="s">
        <v>65</v>
      </c>
      <c r="D7" s="7" t="b">
        <v>0</v>
      </c>
      <c r="E7" s="4" t="s">
        <v>16</v>
      </c>
      <c r="F7" s="4" t="s">
        <v>17</v>
      </c>
      <c r="G7" s="4" t="s">
        <v>66</v>
      </c>
    </row>
    <row r="8" spans="1:7" ht="19.95" customHeight="1" x14ac:dyDescent="0.3">
      <c r="A8" s="2"/>
      <c r="B8" s="2">
        <v>3</v>
      </c>
      <c r="C8" s="2" t="s">
        <v>67</v>
      </c>
      <c r="D8" s="6" t="b">
        <v>1</v>
      </c>
      <c r="E8" s="2" t="s">
        <v>16</v>
      </c>
      <c r="F8" s="2" t="s">
        <v>30</v>
      </c>
      <c r="G8" s="2" t="s">
        <v>68</v>
      </c>
    </row>
    <row r="9" spans="1:7" ht="19.95" customHeight="1" x14ac:dyDescent="0.3">
      <c r="A9" s="4"/>
      <c r="B9" s="4">
        <v>4</v>
      </c>
      <c r="C9" s="4" t="s">
        <v>69</v>
      </c>
      <c r="D9" s="7" t="b">
        <v>0</v>
      </c>
      <c r="E9" s="4" t="s">
        <v>37</v>
      </c>
      <c r="F9" s="4" t="s">
        <v>17</v>
      </c>
      <c r="G9" s="4" t="s">
        <v>70</v>
      </c>
    </row>
    <row r="10" spans="1:7" ht="19.95" customHeight="1" x14ac:dyDescent="0.3">
      <c r="A10" s="2"/>
      <c r="B10" s="2">
        <v>5</v>
      </c>
      <c r="C10" s="2" t="s">
        <v>71</v>
      </c>
      <c r="D10" s="6" t="b">
        <v>1</v>
      </c>
      <c r="E10" s="2" t="s">
        <v>16</v>
      </c>
      <c r="F10" s="2" t="s">
        <v>30</v>
      </c>
      <c r="G10" s="2" t="s">
        <v>72</v>
      </c>
    </row>
    <row r="11" spans="1:7" ht="19.95" customHeight="1" x14ac:dyDescent="0.3">
      <c r="A11" s="4"/>
      <c r="B11" s="4">
        <v>6</v>
      </c>
      <c r="C11" s="4" t="s">
        <v>73</v>
      </c>
      <c r="D11" s="7" t="b">
        <v>0</v>
      </c>
      <c r="E11" s="4" t="s">
        <v>16</v>
      </c>
      <c r="F11" s="4" t="s">
        <v>17</v>
      </c>
      <c r="G11" s="4" t="s">
        <v>74</v>
      </c>
    </row>
    <row r="12" spans="1:7" ht="19.95" customHeight="1" x14ac:dyDescent="0.3">
      <c r="A12" s="2"/>
      <c r="B12" s="2">
        <v>7</v>
      </c>
      <c r="C12" s="2" t="s">
        <v>75</v>
      </c>
      <c r="D12" s="6" t="b">
        <v>1</v>
      </c>
      <c r="E12" s="2" t="s">
        <v>16</v>
      </c>
      <c r="F12" s="2" t="s">
        <v>17</v>
      </c>
      <c r="G12" s="2" t="s">
        <v>76</v>
      </c>
    </row>
  </sheetData>
  <mergeCells count="2">
    <mergeCell ref="B3:G3"/>
    <mergeCell ref="B2:G2"/>
  </mergeCells>
  <dataValidations count="1">
    <dataValidation type="list" showErrorMessage="1" sqref="D6:D500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5" customWidth="1"/>
    <col min="3" max="3" width="52" customWidth="1"/>
    <col min="4" max="4" width="32" customWidth="1"/>
    <col min="5" max="5" width="20" customWidth="1"/>
    <col min="6" max="6" width="16" customWidth="1"/>
    <col min="7" max="7" width="36" customWidth="1"/>
  </cols>
  <sheetData>
    <row r="2" spans="1:7" ht="31.95" customHeight="1" x14ac:dyDescent="0.3">
      <c r="B2" s="29" t="s">
        <v>77</v>
      </c>
      <c r="C2" s="26"/>
      <c r="D2" s="26"/>
      <c r="E2" s="26"/>
      <c r="F2" s="26"/>
      <c r="G2" s="26"/>
    </row>
    <row r="3" spans="1:7" ht="16.05" customHeight="1" x14ac:dyDescent="0.3">
      <c r="B3" s="25" t="s">
        <v>78</v>
      </c>
      <c r="C3" s="26"/>
      <c r="D3" s="26"/>
      <c r="E3" s="26"/>
      <c r="F3" s="26"/>
      <c r="G3" s="26"/>
    </row>
    <row r="5" spans="1:7" ht="30" customHeight="1" x14ac:dyDescent="0.3">
      <c r="A5" s="8"/>
      <c r="B5" s="8" t="s">
        <v>1</v>
      </c>
      <c r="C5" s="8" t="s">
        <v>79</v>
      </c>
      <c r="D5" s="8" t="s">
        <v>80</v>
      </c>
      <c r="E5" s="8" t="s">
        <v>8</v>
      </c>
      <c r="F5" s="8" t="s">
        <v>9</v>
      </c>
      <c r="G5" s="8" t="s">
        <v>10</v>
      </c>
    </row>
    <row r="6" spans="1:7" ht="19.95" customHeight="1" x14ac:dyDescent="0.3">
      <c r="A6" s="2"/>
      <c r="B6" s="2">
        <v>1</v>
      </c>
      <c r="C6" s="2" t="s">
        <v>81</v>
      </c>
      <c r="D6" s="9" t="s">
        <v>82</v>
      </c>
      <c r="E6" s="2" t="s">
        <v>37</v>
      </c>
      <c r="F6" s="2" t="s">
        <v>30</v>
      </c>
      <c r="G6" s="2" t="s">
        <v>83</v>
      </c>
    </row>
    <row r="7" spans="1:7" ht="19.95" customHeight="1" x14ac:dyDescent="0.3">
      <c r="A7" s="4"/>
      <c r="B7" s="4">
        <v>2</v>
      </c>
      <c r="C7" s="4" t="s">
        <v>84</v>
      </c>
      <c r="D7" s="9" t="s">
        <v>85</v>
      </c>
      <c r="E7" s="4" t="s">
        <v>37</v>
      </c>
      <c r="F7" s="4" t="s">
        <v>17</v>
      </c>
      <c r="G7" s="4" t="s">
        <v>86</v>
      </c>
    </row>
    <row r="8" spans="1:7" ht="19.95" customHeight="1" x14ac:dyDescent="0.3">
      <c r="A8" s="2"/>
      <c r="B8" s="2">
        <v>3</v>
      </c>
      <c r="C8" s="2" t="s">
        <v>87</v>
      </c>
      <c r="D8" s="9" t="s">
        <v>13</v>
      </c>
      <c r="E8" s="2" t="s">
        <v>16</v>
      </c>
      <c r="F8" s="2" t="s">
        <v>17</v>
      </c>
      <c r="G8" s="2" t="s">
        <v>88</v>
      </c>
    </row>
    <row r="9" spans="1:7" ht="19.95" customHeight="1" x14ac:dyDescent="0.3">
      <c r="A9" s="4"/>
      <c r="B9" s="4">
        <v>4</v>
      </c>
      <c r="C9" s="4" t="s">
        <v>89</v>
      </c>
      <c r="D9" s="9" t="s">
        <v>90</v>
      </c>
      <c r="E9" s="4" t="s">
        <v>16</v>
      </c>
      <c r="F9" s="4" t="s">
        <v>30</v>
      </c>
      <c r="G9" s="4" t="s">
        <v>91</v>
      </c>
    </row>
    <row r="10" spans="1:7" ht="19.95" customHeight="1" x14ac:dyDescent="0.3">
      <c r="A10" s="2"/>
      <c r="B10" s="2">
        <v>5</v>
      </c>
      <c r="C10" s="2" t="s">
        <v>92</v>
      </c>
      <c r="D10" s="9" t="s">
        <v>29</v>
      </c>
      <c r="E10" s="2" t="s">
        <v>37</v>
      </c>
      <c r="F10" s="2" t="s">
        <v>30</v>
      </c>
      <c r="G10" s="2" t="s">
        <v>93</v>
      </c>
    </row>
    <row r="11" spans="1:7" ht="19.95" customHeight="1" x14ac:dyDescent="0.3">
      <c r="A11" s="4"/>
      <c r="B11" s="4">
        <v>6</v>
      </c>
      <c r="C11" s="4" t="s">
        <v>94</v>
      </c>
      <c r="D11" s="9" t="s">
        <v>28</v>
      </c>
      <c r="E11" s="4" t="s">
        <v>16</v>
      </c>
      <c r="F11" s="4" t="s">
        <v>30</v>
      </c>
      <c r="G11" s="4" t="s">
        <v>95</v>
      </c>
    </row>
    <row r="12" spans="1:7" ht="19.95" customHeight="1" x14ac:dyDescent="0.3">
      <c r="A12" s="2"/>
      <c r="B12" s="2">
        <v>7</v>
      </c>
      <c r="C12" s="2" t="s">
        <v>96</v>
      </c>
      <c r="D12" s="9" t="s">
        <v>97</v>
      </c>
      <c r="E12" s="2" t="s">
        <v>98</v>
      </c>
      <c r="F12" s="2" t="s">
        <v>47</v>
      </c>
      <c r="G12" s="2" t="s">
        <v>99</v>
      </c>
    </row>
  </sheetData>
  <mergeCells count="2">
    <mergeCell ref="B3:G3"/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6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" customWidth="1"/>
    <col min="2" max="2" width="6" customWidth="1"/>
    <col min="3" max="3" width="26" customWidth="1"/>
    <col min="4" max="4" width="32" customWidth="1"/>
    <col min="5" max="5" width="34" customWidth="1"/>
    <col min="6" max="6" width="20" customWidth="1"/>
    <col min="7" max="7" width="16" customWidth="1"/>
    <col min="8" max="8" width="36" customWidth="1"/>
  </cols>
  <sheetData>
    <row r="2" spans="1:8" ht="31.95" customHeight="1" x14ac:dyDescent="0.3">
      <c r="B2" s="30" t="s">
        <v>100</v>
      </c>
      <c r="C2" s="26"/>
      <c r="D2" s="26"/>
      <c r="E2" s="26"/>
      <c r="F2" s="26"/>
      <c r="G2" s="26"/>
      <c r="H2" s="26"/>
    </row>
    <row r="3" spans="1:8" ht="16.05" customHeight="1" x14ac:dyDescent="0.3">
      <c r="B3" s="25" t="s">
        <v>101</v>
      </c>
      <c r="C3" s="26"/>
      <c r="D3" s="26"/>
      <c r="E3" s="26"/>
      <c r="F3" s="26"/>
      <c r="G3" s="26"/>
      <c r="H3" s="26"/>
    </row>
    <row r="5" spans="1:8" ht="30" customHeight="1" x14ac:dyDescent="0.3">
      <c r="A5" s="10"/>
      <c r="B5" s="10" t="s">
        <v>102</v>
      </c>
      <c r="C5" s="10" t="s">
        <v>103</v>
      </c>
      <c r="D5" s="10" t="s">
        <v>104</v>
      </c>
      <c r="E5" s="10" t="s">
        <v>105</v>
      </c>
      <c r="F5" s="10" t="s">
        <v>8</v>
      </c>
      <c r="G5" s="10" t="s">
        <v>9</v>
      </c>
      <c r="H5" s="10" t="s">
        <v>10</v>
      </c>
    </row>
    <row r="6" spans="1:8" ht="19.95" customHeight="1" x14ac:dyDescent="0.3">
      <c r="A6" s="11"/>
      <c r="B6" s="12">
        <v>1</v>
      </c>
      <c r="C6" s="11" t="s">
        <v>106</v>
      </c>
      <c r="D6" s="11" t="s">
        <v>21</v>
      </c>
      <c r="E6" s="11" t="s">
        <v>107</v>
      </c>
      <c r="F6" s="11" t="s">
        <v>16</v>
      </c>
      <c r="G6" s="11" t="s">
        <v>17</v>
      </c>
      <c r="H6" s="11" t="s">
        <v>108</v>
      </c>
    </row>
    <row r="7" spans="1:8" ht="19.95" customHeight="1" x14ac:dyDescent="0.3">
      <c r="A7" s="11"/>
      <c r="B7" s="12">
        <v>1</v>
      </c>
      <c r="C7" s="11" t="s">
        <v>106</v>
      </c>
      <c r="D7" s="11" t="s">
        <v>20</v>
      </c>
      <c r="E7" s="11" t="s">
        <v>109</v>
      </c>
      <c r="F7" s="11" t="s">
        <v>16</v>
      </c>
      <c r="G7" s="11" t="s">
        <v>17</v>
      </c>
      <c r="H7" s="11" t="s">
        <v>110</v>
      </c>
    </row>
    <row r="8" spans="1:8" ht="19.95" customHeight="1" x14ac:dyDescent="0.3">
      <c r="A8" s="11"/>
      <c r="B8" s="12">
        <v>1</v>
      </c>
      <c r="C8" s="11" t="s">
        <v>106</v>
      </c>
      <c r="D8" s="11" t="s">
        <v>22</v>
      </c>
      <c r="E8" s="11" t="s">
        <v>111</v>
      </c>
      <c r="F8" s="11" t="s">
        <v>16</v>
      </c>
      <c r="G8" s="11" t="s">
        <v>17</v>
      </c>
      <c r="H8" s="11" t="s">
        <v>112</v>
      </c>
    </row>
    <row r="9" spans="1:8" ht="19.95" customHeight="1" x14ac:dyDescent="0.3">
      <c r="A9" s="11"/>
      <c r="B9" s="12">
        <v>1</v>
      </c>
      <c r="C9" s="11" t="s">
        <v>106</v>
      </c>
      <c r="D9" s="11" t="s">
        <v>23</v>
      </c>
      <c r="E9" s="11" t="s">
        <v>113</v>
      </c>
      <c r="F9" s="11" t="s">
        <v>16</v>
      </c>
      <c r="G9" s="11" t="s">
        <v>17</v>
      </c>
      <c r="H9" s="11" t="s">
        <v>114</v>
      </c>
    </row>
    <row r="10" spans="1:8" ht="19.95" customHeight="1" x14ac:dyDescent="0.3">
      <c r="A10" s="13"/>
      <c r="B10" s="14">
        <v>2</v>
      </c>
      <c r="C10" s="13" t="s">
        <v>115</v>
      </c>
      <c r="D10" s="13" t="s">
        <v>116</v>
      </c>
      <c r="E10" s="13" t="s">
        <v>117</v>
      </c>
      <c r="F10" s="13" t="s">
        <v>37</v>
      </c>
      <c r="G10" s="13" t="s">
        <v>30</v>
      </c>
      <c r="H10" s="13" t="s">
        <v>118</v>
      </c>
    </row>
    <row r="11" spans="1:8" ht="19.95" customHeight="1" x14ac:dyDescent="0.3">
      <c r="A11" s="13"/>
      <c r="B11" s="14">
        <v>2</v>
      </c>
      <c r="C11" s="13" t="s">
        <v>115</v>
      </c>
      <c r="D11" s="13" t="s">
        <v>119</v>
      </c>
      <c r="E11" s="13" t="s">
        <v>120</v>
      </c>
      <c r="F11" s="13" t="s">
        <v>37</v>
      </c>
      <c r="G11" s="13" t="s">
        <v>30</v>
      </c>
      <c r="H11" s="13" t="s">
        <v>121</v>
      </c>
    </row>
    <row r="12" spans="1:8" ht="19.95" customHeight="1" x14ac:dyDescent="0.3">
      <c r="A12" s="13"/>
      <c r="B12" s="14">
        <v>2</v>
      </c>
      <c r="C12" s="13" t="s">
        <v>115</v>
      </c>
      <c r="D12" s="13" t="s">
        <v>122</v>
      </c>
      <c r="E12" s="13" t="s">
        <v>123</v>
      </c>
      <c r="F12" s="13" t="s">
        <v>37</v>
      </c>
      <c r="G12" s="13" t="s">
        <v>30</v>
      </c>
      <c r="H12" s="13" t="s">
        <v>124</v>
      </c>
    </row>
    <row r="13" spans="1:8" ht="19.95" customHeight="1" x14ac:dyDescent="0.3">
      <c r="A13" s="13"/>
      <c r="B13" s="14">
        <v>2</v>
      </c>
      <c r="C13" s="13" t="s">
        <v>115</v>
      </c>
      <c r="D13" s="13" t="s">
        <v>125</v>
      </c>
      <c r="E13" s="13" t="s">
        <v>126</v>
      </c>
      <c r="F13" s="13" t="s">
        <v>37</v>
      </c>
      <c r="G13" s="13" t="s">
        <v>30</v>
      </c>
      <c r="H13" s="13" t="s">
        <v>127</v>
      </c>
    </row>
    <row r="14" spans="1:8" ht="19.95" customHeight="1" x14ac:dyDescent="0.3">
      <c r="A14" s="15"/>
      <c r="B14" s="16">
        <v>3</v>
      </c>
      <c r="C14" s="15" t="s">
        <v>128</v>
      </c>
      <c r="D14" s="15" t="s">
        <v>129</v>
      </c>
      <c r="E14" s="15" t="s">
        <v>130</v>
      </c>
      <c r="F14" s="15" t="s">
        <v>46</v>
      </c>
      <c r="G14" s="15" t="s">
        <v>47</v>
      </c>
      <c r="H14" s="15" t="s">
        <v>131</v>
      </c>
    </row>
    <row r="15" spans="1:8" ht="19.95" customHeight="1" x14ac:dyDescent="0.3">
      <c r="A15" s="15"/>
      <c r="B15" s="16">
        <v>3</v>
      </c>
      <c r="C15" s="15" t="s">
        <v>128</v>
      </c>
      <c r="D15" s="15" t="s">
        <v>132</v>
      </c>
      <c r="E15" s="15" t="s">
        <v>133</v>
      </c>
      <c r="F15" s="15" t="s">
        <v>46</v>
      </c>
      <c r="G15" s="15" t="s">
        <v>47</v>
      </c>
      <c r="H15" s="15" t="s">
        <v>134</v>
      </c>
    </row>
    <row r="16" spans="1:8" ht="19.95" customHeight="1" x14ac:dyDescent="0.3">
      <c r="A16" s="15"/>
      <c r="B16" s="16">
        <v>3</v>
      </c>
      <c r="C16" s="15" t="s">
        <v>128</v>
      </c>
      <c r="D16" s="15" t="s">
        <v>135</v>
      </c>
      <c r="E16" s="15" t="s">
        <v>136</v>
      </c>
      <c r="F16" s="15" t="s">
        <v>46</v>
      </c>
      <c r="G16" s="15" t="s">
        <v>47</v>
      </c>
      <c r="H16" s="15" t="s">
        <v>137</v>
      </c>
    </row>
  </sheetData>
  <mergeCells count="2">
    <mergeCell ref="B3:H3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9"/>
  <sheetViews>
    <sheetView showGridLines="0" workbookViewId="0"/>
  </sheetViews>
  <sheetFormatPr defaultRowHeight="14.4" x14ac:dyDescent="0.3"/>
  <cols>
    <col min="1" max="1" width="3" customWidth="1"/>
    <col min="2" max="2" width="30" customWidth="1"/>
    <col min="3" max="5" width="18" customWidth="1"/>
    <col min="6" max="6" width="16" customWidth="1"/>
  </cols>
  <sheetData>
    <row r="2" spans="1:6" ht="31.95" customHeight="1" x14ac:dyDescent="0.3">
      <c r="B2" s="27" t="s">
        <v>138</v>
      </c>
      <c r="C2" s="26"/>
      <c r="D2" s="26"/>
      <c r="E2" s="26"/>
      <c r="F2" s="26"/>
    </row>
    <row r="4" spans="1:6" ht="30" customHeight="1" x14ac:dyDescent="0.3">
      <c r="A4" s="1"/>
      <c r="B4" s="1" t="s">
        <v>139</v>
      </c>
      <c r="C4" s="1" t="s">
        <v>140</v>
      </c>
      <c r="D4" s="1" t="s">
        <v>141</v>
      </c>
      <c r="E4" s="1" t="s">
        <v>142</v>
      </c>
      <c r="F4" s="1" t="s">
        <v>143</v>
      </c>
    </row>
    <row r="5" spans="1:6" ht="22.05" customHeight="1" x14ac:dyDescent="0.3">
      <c r="B5" s="17" t="s">
        <v>144</v>
      </c>
      <c r="C5" s="18">
        <f>COUNTA('📝 Тест'!C6:C499)</f>
        <v>8</v>
      </c>
      <c r="D5" s="18">
        <f>COUNTA('📝 Тест'!H6:H499)</f>
        <v>8</v>
      </c>
      <c r="E5" s="18">
        <f>C5-D5</f>
        <v>0</v>
      </c>
      <c r="F5" s="19">
        <f>IFERROR(D5/C5,0)</f>
        <v>1</v>
      </c>
    </row>
    <row r="6" spans="1:6" ht="22.05" customHeight="1" x14ac:dyDescent="0.3">
      <c r="B6" s="20" t="s">
        <v>145</v>
      </c>
      <c r="C6" s="21">
        <f>COUNTA('✅ Дурыс-Бурыс'!C6:C500)</f>
        <v>7</v>
      </c>
      <c r="D6" s="21">
        <f>COUNTA('✅ Дурыс-Бурыс'!D6:D500)</f>
        <v>7</v>
      </c>
      <c r="E6" s="21">
        <f>C6-D6</f>
        <v>0</v>
      </c>
      <c r="F6" s="22">
        <f>IFERROR(D6/C6,0)</f>
        <v>1</v>
      </c>
    </row>
    <row r="7" spans="1:6" ht="22.05" customHeight="1" x14ac:dyDescent="0.3">
      <c r="B7" s="17" t="s">
        <v>146</v>
      </c>
      <c r="C7" s="18">
        <f>COUNTA('✍️ Бос орын'!C6:C500)</f>
        <v>7</v>
      </c>
      <c r="D7" s="18">
        <f>COUNTA('✍️ Бос орын'!D6:D500)</f>
        <v>7</v>
      </c>
      <c r="E7" s="18">
        <f>C7-D7</f>
        <v>0</v>
      </c>
      <c r="F7" s="19">
        <f>IFERROR(D7/C7,0)</f>
        <v>1</v>
      </c>
    </row>
    <row r="8" spans="1:6" ht="22.05" customHeight="1" x14ac:dyDescent="0.3">
      <c r="B8" s="20" t="s">
        <v>147</v>
      </c>
      <c r="C8" s="21">
        <f>COUNTA('🔗 Сәйкестендіру'!C6:C500)</f>
        <v>11</v>
      </c>
      <c r="D8" s="21">
        <f>COUNTA('🔗 Сәйкестендіру'!E6:E500)</f>
        <v>11</v>
      </c>
      <c r="E8" s="21">
        <f>C8-D8</f>
        <v>0</v>
      </c>
      <c r="F8" s="22">
        <f>IFERROR(D8/C8,0)</f>
        <v>1</v>
      </c>
    </row>
    <row r="9" spans="1:6" ht="25.95" customHeight="1" x14ac:dyDescent="0.3">
      <c r="A9" s="23"/>
      <c r="B9" s="23" t="s">
        <v>148</v>
      </c>
      <c r="C9" s="23">
        <f>SUM(C5:C8)</f>
        <v>33</v>
      </c>
      <c r="D9" s="23">
        <f>SUM(D5:D8)</f>
        <v>33</v>
      </c>
      <c r="E9" s="23">
        <f>SUM(E5:E8)</f>
        <v>0</v>
      </c>
      <c r="F9" s="24">
        <f>IFERROR(D9/C9,0)</f>
        <v>1</v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📝 Тест</vt:lpstr>
      <vt:lpstr>✅ Дурыс-Бурыс</vt:lpstr>
      <vt:lpstr>✍️ Бос орын</vt:lpstr>
      <vt:lpstr>🔗 Сәйкестендіру</vt:lpstr>
      <vt:lpstr>📊 Нәтиже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Nurtileu</cp:lastModifiedBy>
  <dcterms:created xsi:type="dcterms:W3CDTF">2026-05-09T11:57:00Z</dcterms:created>
  <dcterms:modified xsi:type="dcterms:W3CDTF">2026-05-09T17:40:22Z</dcterms:modified>
</cp:coreProperties>
</file>